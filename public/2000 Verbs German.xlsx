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9D5CD7E-FA2F-47CA-862C-24EC7C11A8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00 verbs" sheetId="1" r:id="rId1"/>
    <sheet name="German" sheetId="4" r:id="rId2"/>
    <sheet name="mass senten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01" i="1" l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0" authorId="0" shapeId="0" xr:uid="{00000000-0006-0000-0000-000017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62" authorId="0" shapeId="0" xr:uid="{00000000-0006-0000-0000-000016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63" authorId="0" shapeId="0" xr:uid="{00000000-0006-0000-0000-000015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76" authorId="0" shapeId="0" xr:uid="{00000000-0006-0000-0000-000014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84" authorId="0" shapeId="0" xr:uid="{00000000-0006-0000-0000-000013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119" authorId="0" shapeId="0" xr:uid="{00000000-0006-0000-0000-000012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129" authorId="0" shapeId="0" xr:uid="{00000000-0006-0000-0000-000011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133" authorId="0" shapeId="0" xr:uid="{00000000-0006-0000-0000-000002000000}">
      <text>
        <r>
          <rPr>
            <sz val="10"/>
            <color rgb="FF000000"/>
            <rFont val="Arial"/>
            <scheme val="minor"/>
          </rPr>
          <t>first groupe
	-S. Elattar</t>
        </r>
      </text>
    </comment>
    <comment ref="A149" authorId="0" shapeId="0" xr:uid="{00000000-0006-0000-0000-000010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216" authorId="0" shapeId="0" xr:uid="{00000000-0006-0000-0000-00000F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237" authorId="0" shapeId="0" xr:uid="{00000000-0006-0000-0000-00000E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256" authorId="0" shapeId="0" xr:uid="{00000000-0006-0000-0000-00000D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258" authorId="0" shapeId="0" xr:uid="{00000000-0006-0000-0000-00000C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263" authorId="0" shapeId="0" xr:uid="{00000000-0006-0000-0000-000001000000}">
      <text>
        <r>
          <rPr>
            <sz val="10"/>
            <color rgb="FF000000"/>
            <rFont val="Arial"/>
            <scheme val="minor"/>
          </rPr>
          <t>The second group
	-S. Elattar</t>
        </r>
      </text>
    </comment>
    <comment ref="A270" authorId="0" shapeId="0" xr:uid="{00000000-0006-0000-0000-00000B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271" authorId="0" shapeId="0" xr:uid="{00000000-0006-0000-0000-00000A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277" authorId="0" shapeId="0" xr:uid="{00000000-0006-0000-0000-000009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308" authorId="0" shapeId="0" xr:uid="{00000000-0006-0000-0000-000008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310" authorId="0" shapeId="0" xr:uid="{00000000-0006-0000-0000-000007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315" authorId="0" shapeId="0" xr:uid="{00000000-0006-0000-0000-000006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334" authorId="0" shapeId="0" xr:uid="{00000000-0006-0000-0000-000005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335" authorId="0" shapeId="0" xr:uid="{00000000-0006-0000-0000-000004000000}">
      <text>
        <r>
          <rPr>
            <sz val="10"/>
            <color rgb="FF000000"/>
            <rFont val="Arial"/>
            <scheme val="minor"/>
          </rPr>
          <t>R
	-michael killeen</t>
        </r>
      </text>
    </comment>
    <comment ref="A343" authorId="0" shapeId="0" xr:uid="{00000000-0006-0000-0000-000003000000}">
      <text>
        <r>
          <rPr>
            <sz val="10"/>
            <color rgb="FF000000"/>
            <rFont val="Arial"/>
            <scheme val="minor"/>
          </rPr>
          <t>Limit
	-michael killeen</t>
        </r>
      </text>
    </comment>
  </commentList>
</comments>
</file>

<file path=xl/sharedStrings.xml><?xml version="1.0" encoding="utf-8"?>
<sst xmlns="http://schemas.openxmlformats.org/spreadsheetml/2006/main" count="8335" uniqueCount="6232">
  <si>
    <t>VERB</t>
  </si>
  <si>
    <t>SENTENCE</t>
  </si>
  <si>
    <t>SPANISH TRANSLATION</t>
  </si>
  <si>
    <t>ENGLISH</t>
  </si>
  <si>
    <t>être</t>
  </si>
  <si>
    <t>Il est toujours gentil avec ses amis.</t>
  </si>
  <si>
    <t>Siempre es amable con sus amigos.</t>
  </si>
  <si>
    <t>faire</t>
  </si>
  <si>
    <t>Elle fait ses devoirs tous les jours.</t>
  </si>
  <si>
    <t>Ella hace su tarea todos los días.</t>
  </si>
  <si>
    <t>avoir</t>
  </si>
  <si>
    <t>Nous avons beaucoup de travail à faire.</t>
  </si>
  <si>
    <t>Tenemos mucho trabajo por hacer.</t>
  </si>
  <si>
    <t>voir</t>
  </si>
  <si>
    <t>Je vois un oiseau dans le jardin.</t>
  </si>
  <si>
    <t>Veo un pájaro en el jardín.</t>
  </si>
  <si>
    <t>dire</t>
  </si>
  <si>
    <t>Ils disent toujours la vérité.</t>
  </si>
  <si>
    <t>Siempre dicen la verdad.</t>
  </si>
  <si>
    <t>prendre</t>
  </si>
  <si>
    <t>Elle prend un café chaque matin.</t>
  </si>
  <si>
    <t>Ella toma café todas las mañanas.</t>
  </si>
  <si>
    <t>assurer</t>
  </si>
  <si>
    <t>Nous assurons un service de qualité.</t>
  </si>
  <si>
    <t>Brindamos un servicio de calidad.</t>
  </si>
  <si>
    <t>obtenir</t>
  </si>
  <si>
    <t>Ils obtiennent de bons résultats à l'école.</t>
  </si>
  <si>
    <t>Se desempeñan bien en la escuela.</t>
  </si>
  <si>
    <t>pouvoir</t>
  </si>
  <si>
    <t>Elle peut parler trois langues.</t>
  </si>
  <si>
    <t>Puede hablar tres idiomas.</t>
  </si>
  <si>
    <t>to be able to</t>
  </si>
  <si>
    <t>utiliser</t>
  </si>
  <si>
    <t>Il utilise souvent son ordinateur pour travailler.</t>
  </si>
  <si>
    <t>A menudo utiliza su computadora para trabajar.</t>
  </si>
  <si>
    <t>aider</t>
  </si>
  <si>
    <t>Elle aide ses collègues quand ils en ont besoin.</t>
  </si>
  <si>
    <t>Ayuda a sus compañeros cuando lo necesitan.</t>
  </si>
  <si>
    <t>améliorer</t>
  </si>
  <si>
    <t>Nous améliorons constamment nos méthodes de travail.</t>
  </si>
  <si>
    <t>Estamos constantemente mejorando nuestros métodos de trabajo.</t>
  </si>
  <si>
    <t>partir</t>
  </si>
  <si>
    <t>Il part en vacances demain.</t>
  </si>
  <si>
    <t>Se va de vacaciones mañana.</t>
  </si>
  <si>
    <t>savoir</t>
  </si>
  <si>
    <t>Elle sait jouer du piano.</t>
  </si>
  <si>
    <t>Ella sabe tocar el piano.</t>
  </si>
  <si>
    <t>fournir</t>
  </si>
  <si>
    <t>Ils fournissent des informations précieuses.</t>
  </si>
  <si>
    <t>Proporcionan información valiosa.</t>
  </si>
  <si>
    <t>aller</t>
  </si>
  <si>
    <t xml:space="preserve">Nous allons au cinéma ce soir. </t>
  </si>
  <si>
    <t>Esta noche vamos al cine.</t>
  </si>
  <si>
    <t>donner</t>
  </si>
  <si>
    <t>Elle donne des cours de français.</t>
  </si>
  <si>
    <t>Ella da lecciones de francés.</t>
  </si>
  <si>
    <t>mettre</t>
  </si>
  <si>
    <t>Il met la table avant chaque repas.</t>
  </si>
  <si>
    <t>Pone la mesa antes de cada comida.</t>
  </si>
  <si>
    <t>créer</t>
  </si>
  <si>
    <t>Nous créons de nouveaux produits chaque année.</t>
  </si>
  <si>
    <t>Creamos nuevos productos cada año.</t>
  </si>
  <si>
    <t>trouver</t>
  </si>
  <si>
    <t>Elle trouve toujours une solution aux problèmes.</t>
  </si>
  <si>
    <t>Ella siempre encuentra una solución a los problemas.</t>
  </si>
  <si>
    <t>permettre</t>
  </si>
  <si>
    <t>Il permet à ses enfants de jouer dehors.</t>
  </si>
  <si>
    <t>Permite que sus hijos jueguen afuera.</t>
  </si>
  <si>
    <t>renforcer</t>
  </si>
  <si>
    <t>Nous renforçons notre engagement envers la qualité.</t>
  </si>
  <si>
    <t>Reforzamos nuestro compromiso con la calidad.</t>
  </si>
  <si>
    <t>parler</t>
  </si>
  <si>
    <t>Elle parle couramment anglais.</t>
  </si>
  <si>
    <t>Habla inglés con fluidez.</t>
  </si>
  <si>
    <t>établir</t>
  </si>
  <si>
    <t>Ils établissent de nouvelles règles.</t>
  </si>
  <si>
    <t>Hacen nuevas reglas.</t>
  </si>
  <si>
    <t>promouvoir</t>
  </si>
  <si>
    <t>Il promeut la santé et le bien-être.</t>
  </si>
  <si>
    <t>Promueve la salud y el bienestar.</t>
  </si>
  <si>
    <t>demander</t>
  </si>
  <si>
    <t>Elle demande de l'aide à son professeur.</t>
  </si>
  <si>
    <t>Ella le pide ayuda a su maestra.</t>
  </si>
  <si>
    <t>déterminer</t>
  </si>
  <si>
    <t>Nous déterminons les meilleures stratégies.</t>
  </si>
  <si>
    <t>Determinamos las mejores estrategias.</t>
  </si>
  <si>
    <t>comprendre</t>
  </si>
  <si>
    <t>Il comprend rapidement les concepts difficiles.</t>
  </si>
  <si>
    <t>Entiende conceptos difíciles rápidamente.</t>
  </si>
  <si>
    <t>tenir</t>
  </si>
  <si>
    <t>Elle tient toujours ses promesses.</t>
  </si>
  <si>
    <t>Ella siempre cumple sus promesas.</t>
  </si>
  <si>
    <t>passer</t>
  </si>
  <si>
    <t>Nous passons du temps en famille chaque week-end.</t>
  </si>
  <si>
    <t>Pasamos tiempo con la familia todos los fines de semana.</t>
  </si>
  <si>
    <t>présenter</t>
  </si>
  <si>
    <t>Il présente son projet à ses collègues.</t>
  </si>
  <si>
    <t>Presenta su proyecto a sus compañeros.</t>
  </si>
  <si>
    <t>appliquer</t>
  </si>
  <si>
    <t>Elle applique les nouvelles règles strictement.</t>
  </si>
  <si>
    <t>Ella hace cumplir estrictamente las nuevas reglas.</t>
  </si>
  <si>
    <t>protéger</t>
  </si>
  <si>
    <t>Nous protégeons l'environnement en recyclant.</t>
  </si>
  <si>
    <t>Protegemos el medio ambiente reciclando.</t>
  </si>
  <si>
    <t>réduire</t>
  </si>
  <si>
    <t>Ils réduisent leurs dépenses pour économiser.</t>
  </si>
  <si>
    <t>Recortaron sus gastos para ahorrar dinero.</t>
  </si>
  <si>
    <t>rendre</t>
  </si>
  <si>
    <t>Elle rend visite à ses grands-parents chaque semaine.</t>
  </si>
  <si>
    <t>Visita a sus abuelos todas las semanas.</t>
  </si>
  <si>
    <t>examiner</t>
  </si>
  <si>
    <t>Nous examinons toutes les options disponibles.</t>
  </si>
  <si>
    <t>Estamos analizando todas las opciones disponibles.</t>
  </si>
  <si>
    <t>garantir</t>
  </si>
  <si>
    <t>Il garantit la qualité de ses produits.</t>
  </si>
  <si>
    <t>Garantiza la calidad de sus productos.</t>
  </si>
  <si>
    <t>travailler</t>
  </si>
  <si>
    <t>Elle travaille dur pour réussir.</t>
  </si>
  <si>
    <t>Ella trabaja duro para tener éxito.</t>
  </si>
  <si>
    <t>réaliser</t>
  </si>
  <si>
    <t>Nous réalisons nos rêves petit à petit.</t>
  </si>
  <si>
    <t>Realizamos nuestros sueños poco a poco.</t>
  </si>
  <si>
    <t>traiter</t>
  </si>
  <si>
    <t>Ils traitent les données avec soin.</t>
  </si>
  <si>
    <t>Manejan los datos con cuidado.</t>
  </si>
  <si>
    <t>recevoir</t>
  </si>
  <si>
    <t>Elle reçoit souvent des lettres de ses amis.</t>
  </si>
  <si>
    <t>A menudo recibe cartas de sus amigos.</t>
  </si>
  <si>
    <t>continuer</t>
  </si>
  <si>
    <t>Nous continuons à progresser chaque jour.</t>
  </si>
  <si>
    <t>Seguimos progresando cada día.</t>
  </si>
  <si>
    <t>produire</t>
  </si>
  <si>
    <t>Il produit de belles œuvres d'art.</t>
  </si>
  <si>
    <t>Produce hermosas obras de arte.</t>
  </si>
  <si>
    <t>offrir</t>
  </si>
  <si>
    <t>Elle offre son aide aux nécessiteux.</t>
  </si>
  <si>
    <t>Ella ofrece su ayuda a los necesitados.</t>
  </si>
  <si>
    <t>maintenir</t>
  </si>
  <si>
    <t>Nous maintenons un bon équilibre entre travail et vie privée.</t>
  </si>
  <si>
    <t>Mantenemos un buen equilibrio entre la vida personal y laboral.</t>
  </si>
  <si>
    <t>modifier</t>
  </si>
  <si>
    <t>Il modifie son approche en fonction des résultats.</t>
  </si>
  <si>
    <t>Modifica su enfoque en función de los resultados.</t>
  </si>
  <si>
    <t>évaluer</t>
  </si>
  <si>
    <t>Elle évalue régulièrement ses performances.</t>
  </si>
  <si>
    <t>Ella evalúa periódicamente su desempeño.</t>
  </si>
  <si>
    <t>augmenter</t>
  </si>
  <si>
    <t>Nous augmentons notre capacité de production.</t>
  </si>
  <si>
    <t>Estamos aumentando nuestra capacidad de producción.</t>
  </si>
  <si>
    <t>effectuer</t>
  </si>
  <si>
    <t>Ils effectuent des contrôles de qualité rigoureux.</t>
  </si>
  <si>
    <t>Realizan rigurosos controles de calidad.</t>
  </si>
  <si>
    <t>apporter</t>
  </si>
  <si>
    <t>Elle apporte toujours des idées innovantes.</t>
  </si>
  <si>
    <t>Ella siempre aporta ideas innovadoras.</t>
  </si>
  <si>
    <t>jouer</t>
  </si>
  <si>
    <t>Nous jouons au football chaque samedi.</t>
  </si>
  <si>
    <t>Jugamos al fútbol todos los sábados.</t>
  </si>
  <si>
    <t>faciliter</t>
  </si>
  <si>
    <t>Il facilite la communication entre les équipes.</t>
  </si>
  <si>
    <t>Facilita la comunicación entre equipos.</t>
  </si>
  <si>
    <t>laisser</t>
  </si>
  <si>
    <t>Elle laisse ses enfants jouer dehors.</t>
  </si>
  <si>
    <t>Deja que sus hijos jueguen afuera.</t>
  </si>
  <si>
    <t>devenir</t>
  </si>
  <si>
    <t>Il devient de plus en plus compétent.</t>
  </si>
  <si>
    <t>Se vuelve cada vez más competente.</t>
  </si>
  <si>
    <t>soutenir</t>
  </si>
  <si>
    <t>Nous soutenons les initiatives locales.</t>
  </si>
  <si>
    <t>Apoyamos iniciativas locales.</t>
  </si>
  <si>
    <t>poursuivre</t>
  </si>
  <si>
    <t>Elle poursuit ses études en médecine.</t>
  </si>
  <si>
    <t>Continúa sus estudios de medicina.</t>
  </si>
  <si>
    <t>suivre</t>
  </si>
  <si>
    <t>Il suit un régime alimentaire strict.</t>
  </si>
  <si>
    <t>Sigue una dieta estricta.</t>
  </si>
  <si>
    <t>développer</t>
  </si>
  <si>
    <t>Nous développons de nouvelles technologies.</t>
  </si>
  <si>
    <t>Desarrollamos nuevas tecnologías.</t>
  </si>
  <si>
    <t>éviter</t>
  </si>
  <si>
    <t>Elle évite les conflits autant que possible.</t>
  </si>
  <si>
    <t>Evita los conflictos tanto como sea posible.</t>
  </si>
  <si>
    <t>ajouter</t>
  </si>
  <si>
    <t>Il ajoute du sel à son plat.</t>
  </si>
  <si>
    <t>Agrega sal a su plato.</t>
  </si>
  <si>
    <t>empêcher</t>
  </si>
  <si>
    <t>Nous empêchons les erreurs en vérifiant tout.</t>
  </si>
  <si>
    <t>Prevenimos errores comprobando todo dos veces.</t>
  </si>
  <si>
    <t>accroître</t>
  </si>
  <si>
    <t>Elle accroît ses connaissances chaque jour.</t>
  </si>
  <si>
    <t>Ella aumenta sus conocimientos cada día.</t>
  </si>
  <si>
    <t>vivre</t>
  </si>
  <si>
    <t>Il vit dans une petite ville tranquille.</t>
  </si>
  <si>
    <t>Vive en un pueblo pequeño y tranquilo.</t>
  </si>
  <si>
    <t>rester</t>
  </si>
  <si>
    <t>Nous restons à la maison ce soir.</t>
  </si>
  <si>
    <t>Esta noche nos quedaremos en casa.</t>
  </si>
  <si>
    <t>adopter</t>
  </si>
  <si>
    <t>Elle adopte une attitude positive.</t>
  </si>
  <si>
    <t>Adopta una actitud positiva.</t>
  </si>
  <si>
    <t>élaborer</t>
  </si>
  <si>
    <t>Ils élaborent un nouveau plan.</t>
  </si>
  <si>
    <t>Se les ocurre un nuevo plan.</t>
  </si>
  <si>
    <t>tuer</t>
  </si>
  <si>
    <t>Il tue le temps en lisant un livre.</t>
  </si>
  <si>
    <t>Mata el tiempo leyendo un libro.</t>
  </si>
  <si>
    <t>encourager</t>
  </si>
  <si>
    <t>Nous encourageons les étudiants à participer.</t>
  </si>
  <si>
    <t>Animamos a los estudiantes a participar.</t>
  </si>
  <si>
    <t>définir</t>
  </si>
  <si>
    <t>Elle définit clairement ses objectifs.</t>
  </si>
  <si>
    <t>Ella define claramente sus objetivos.</t>
  </si>
  <si>
    <t>répondre</t>
  </si>
  <si>
    <t>Il répond rapidement aux emails.</t>
  </si>
  <si>
    <t>Responde rápidamente a los correos electrónicos.</t>
  </si>
  <si>
    <t>prévenir</t>
  </si>
  <si>
    <t>Nous prévenons les accidents par la prudence.</t>
  </si>
  <si>
    <t>Prevenimos accidentes con precaución.</t>
  </si>
  <si>
    <t>identifier</t>
  </si>
  <si>
    <t>Ils identifient les problèmes et les résolvent.</t>
  </si>
  <si>
    <t>Identifican problemas y los resuelven.</t>
  </si>
  <si>
    <t>gérer</t>
  </si>
  <si>
    <t>Elle gère son entreprise avec succès.</t>
  </si>
  <si>
    <t>Dirige su negocio con éxito.</t>
  </si>
  <si>
    <t>acheter</t>
  </si>
  <si>
    <t>Nous achetons des produits locaux.</t>
  </si>
  <si>
    <t>Compramos productos locales.</t>
  </si>
  <si>
    <t>régler</t>
  </si>
  <si>
    <t>Il règle les conflits avec diplomatie.</t>
  </si>
  <si>
    <t>Resuelve los conflictos diplomáticamente.</t>
  </si>
  <si>
    <t>envoyer</t>
  </si>
  <si>
    <t>Elle envoie des cartes postales à ses amis.</t>
  </si>
  <si>
    <t>Envía postales a sus amigos.</t>
  </si>
  <si>
    <t>lire</t>
  </si>
  <si>
    <t>Ils lisent des livres tous les soirs.</t>
  </si>
  <si>
    <t>Leen libros todas las noches.</t>
  </si>
  <si>
    <t>respecter</t>
  </si>
  <si>
    <t>Nous respectons les traditions familiales.</t>
  </si>
  <si>
    <t>Respetamos las tradiciones familiares.</t>
  </si>
  <si>
    <t>agir</t>
  </si>
  <si>
    <t>Elle agit toujours de manière réfléchie.</t>
  </si>
  <si>
    <t>Ella siempre actúa pensativamente.</t>
  </si>
  <si>
    <t>choisir</t>
  </si>
  <si>
    <t>Ils choisissent des vêtements confortables.</t>
  </si>
  <si>
    <t>Eligen ropa cómoda.</t>
  </si>
  <si>
    <t>changer</t>
  </si>
  <si>
    <t>Il change souvent de coiffure.</t>
  </si>
  <si>
    <t>A menudo cambia de peinado.</t>
  </si>
  <si>
    <t>chercher</t>
  </si>
  <si>
    <t>Nous cherchons des solutions innovantes.</t>
  </si>
  <si>
    <t>Buscamos soluciones innovadoras.</t>
  </si>
  <si>
    <t>appuyer</t>
  </si>
  <si>
    <t>Elle appuie son argument avec des faits.</t>
  </si>
  <si>
    <t>Ella apoya su argumento con hechos.</t>
  </si>
  <si>
    <t>préparer</t>
  </si>
  <si>
    <t>Il prépare un repas délicieux.</t>
  </si>
  <si>
    <t>Él prepara una comida deliciosa.</t>
  </si>
  <si>
    <t>porter</t>
  </si>
  <si>
    <t>Nous portons des vêtements confortables.</t>
  </si>
  <si>
    <t>Llevamos ropa cómoda.</t>
  </si>
  <si>
    <t>participer</t>
  </si>
  <si>
    <t>Ils participent activement aux débats.</t>
  </si>
  <si>
    <t>Participan activamente en los debates.</t>
  </si>
  <si>
    <t>entendre</t>
  </si>
  <si>
    <t>Elle entend des oiseaux chanter.</t>
  </si>
  <si>
    <t>Oye el canto de los pájaros.</t>
  </si>
  <si>
    <t>communiquer</t>
  </si>
  <si>
    <t>Nous communiquons régulièrement avec nos clients.</t>
  </si>
  <si>
    <t>Nos comunicamos periódicamente con nuestros clientes.</t>
  </si>
  <si>
    <t>favoriser</t>
  </si>
  <si>
    <t>Il favorise un environnement de travail positif.</t>
  </si>
  <si>
    <t>Promueve un ambiente de trabajo positivo.</t>
  </si>
  <si>
    <t>vérifier</t>
  </si>
  <si>
    <t>Elle vérifie toujours deux fois ses calculs.</t>
  </si>
  <si>
    <t>Ella siempre vuelve a verificar sus cálculos.</t>
  </si>
  <si>
    <t>garder</t>
  </si>
  <si>
    <t>Nous gardons le contact avec nos amis.</t>
  </si>
  <si>
    <t>Nos mantenemos en contacto con nuestros amigos.</t>
  </si>
  <si>
    <t>arrêter</t>
  </si>
  <si>
    <t>Il arrête de fumer pour sa santé.</t>
  </si>
  <si>
    <t>Deja de fumar por su salud.</t>
  </si>
  <si>
    <t>sortir</t>
  </si>
  <si>
    <t>Elle sort souvent avec ses amis.</t>
  </si>
  <si>
    <t>A menudo sale con sus amigos.</t>
  </si>
  <si>
    <t>indiquer</t>
  </si>
  <si>
    <t>Nous indiquons clairement les instructions.</t>
  </si>
  <si>
    <t>Indicamos claramente las instrucciones.</t>
  </si>
  <si>
    <t>apprendre</t>
  </si>
  <si>
    <t>Il apprend le français rapidement.</t>
  </si>
  <si>
    <t>Aprendió francés rápidamente.</t>
  </si>
  <si>
    <t>ouvrir</t>
  </si>
  <si>
    <t>Elle ouvre la porte doucement.</t>
  </si>
  <si>
    <t>Ella abre la puerta lentamente.</t>
  </si>
  <si>
    <t>attendre</t>
  </si>
  <si>
    <t>Ils attendent avec impatience les vacances.</t>
  </si>
  <si>
    <t>Esperan con ansias las vacaciones.</t>
  </si>
  <si>
    <t>commencer</t>
  </si>
  <si>
    <t>Nous commençons un nouveau projet.</t>
  </si>
  <si>
    <t>Estamos iniciando un nuevo proyecto.</t>
  </si>
  <si>
    <t>payer</t>
  </si>
  <si>
    <t>Elle paie ses factures à temps.</t>
  </si>
  <si>
    <t>Ella paga sus cuentas a tiempo.</t>
  </si>
  <si>
    <t>contrôler</t>
  </si>
  <si>
    <t>Elle contrôle les résultats des examens.</t>
  </si>
  <si>
    <t>Ella verifica los resultados del examen.</t>
  </si>
  <si>
    <t>reconnaître</t>
  </si>
  <si>
    <t>Nous reconnaissons ses efforts exceptionnels.</t>
  </si>
  <si>
    <t>Reconocemos sus esfuerzos excepcionales.</t>
  </si>
  <si>
    <t>entrer</t>
  </si>
  <si>
    <t>Il entre dans la salle de réunion en silence.</t>
  </si>
  <si>
    <t>Entra en la sala de reuniones en silencio.</t>
  </si>
  <si>
    <t>appeler</t>
  </si>
  <si>
    <t>Elle appelle son ami pour lui raconter une bonne nouvelle.</t>
  </si>
  <si>
    <t>Llama a su amigo para contarle una buena noticia.</t>
  </si>
  <si>
    <t>manger</t>
  </si>
  <si>
    <t>Ils mangent au restaurant tous les vendredis.</t>
  </si>
  <si>
    <t>Comen en el restaurante todos los viernes.</t>
  </si>
  <si>
    <t>accepter</t>
  </si>
  <si>
    <t>Nous acceptons les conditions du contrat.</t>
  </si>
  <si>
    <t>Aceptamos los términos del contrato.</t>
  </si>
  <si>
    <t>résoudre</t>
  </si>
  <si>
    <t>Elle résout les problèmes rapidement.</t>
  </si>
  <si>
    <t>Ella resuelve los problemas rápidamente.</t>
  </si>
  <si>
    <t>étudier</t>
  </si>
  <si>
    <t>Ils étudient les effets du changement climatique.</t>
  </si>
  <si>
    <t>Estudian los efectos del cambio climático.</t>
  </si>
  <si>
    <t>croire</t>
  </si>
  <si>
    <t>Nous croyons en son potentiel.</t>
  </si>
  <si>
    <t>Creemos en su potencial.</t>
  </si>
  <si>
    <t>détecter</t>
  </si>
  <si>
    <t>Elle détecte des anomalies dans les données.</t>
  </si>
  <si>
    <t>Detecta anomalías en los datos.</t>
  </si>
  <si>
    <t>expliquer</t>
  </si>
  <si>
    <t>Il explique le concept avec des exemples clairs.</t>
  </si>
  <si>
    <t>Explica el concepto con ejemplos claros.</t>
  </si>
  <si>
    <t>accorder</t>
  </si>
  <si>
    <t>Nous accordons une attention particulière aux détails.</t>
  </si>
  <si>
    <t>Prestamos especial atención a los detalles.</t>
  </si>
  <si>
    <t>mesurer</t>
  </si>
  <si>
    <t>Elle mesure la température chaque heure.</t>
  </si>
  <si>
    <t>Mide la temperatura cada hora.</t>
  </si>
  <si>
    <t>découvrir</t>
  </si>
  <si>
    <t>Ils découvrent de nouvelles méthodes de recherche.</t>
  </si>
  <si>
    <t>Descubren nuevos métodos de investigación.</t>
  </si>
  <si>
    <t>bénéficier</t>
  </si>
  <si>
    <t>Nous bénéficions de son expertise.</t>
  </si>
  <si>
    <t>Nos beneficiamos de su experiencia.</t>
  </si>
  <si>
    <t>organiser</t>
  </si>
  <si>
    <t>Elle organise des événements caritatifs.</t>
  </si>
  <si>
    <t>Organiza eventos benéficos.</t>
  </si>
  <si>
    <t>transmettre</t>
  </si>
  <si>
    <t>Ils transmettent les informations aux autorités.</t>
  </si>
  <si>
    <t>Pasan la información a las autoridades.</t>
  </si>
  <si>
    <t>intégrer</t>
  </si>
  <si>
    <t>Nous intégrons de nouvelles fonctionnalités dans l'application.</t>
  </si>
  <si>
    <t>Estamos integrando nuevas funciones en la aplicación.</t>
  </si>
  <si>
    <t>mener</t>
  </si>
  <si>
    <t>Il mène des recherches sur le sujet.</t>
  </si>
  <si>
    <t>Está realizando una investigación sobre el tema.</t>
  </si>
  <si>
    <t>inclure</t>
  </si>
  <si>
    <t>Elle inclut tous les documents nécessaires dans le dossier.</t>
  </si>
  <si>
    <t>Incluye todos los documentos necesarios en el expediente.</t>
  </si>
  <si>
    <t>penser</t>
  </si>
  <si>
    <t>Nous pensons à nos prochaines vacances.</t>
  </si>
  <si>
    <t>Estamos pensando en nuestras próximas vacaciones.</t>
  </si>
  <si>
    <t>regarder</t>
  </si>
  <si>
    <t>Ils regardent un film ensemble.</t>
  </si>
  <si>
    <t>Ven una película juntos.</t>
  </si>
  <si>
    <t>montrer</t>
  </si>
  <si>
    <t>Elle montre son projet à ses collègues.</t>
  </si>
  <si>
    <t>Muestra su proyecto a sus compañeros.</t>
  </si>
  <si>
    <t>gagner</t>
  </si>
  <si>
    <t>Nous gagnons du temps en utilisant cet outil.</t>
  </si>
  <si>
    <t>Ahorramos tiempo utilizando esta herramienta.</t>
  </si>
  <si>
    <t>exercer</t>
  </si>
  <si>
    <t>Il exerce son métier avec passion.</t>
  </si>
  <si>
    <t>Hace su trabajo con pasión.</t>
  </si>
  <si>
    <t>remplir</t>
  </si>
  <si>
    <t>Elle remplit le formulaire en ligne.</t>
  </si>
  <si>
    <t>Ella llena el formulario en línea.</t>
  </si>
  <si>
    <t>proposer</t>
  </si>
  <si>
    <t>Nous proposons une solution alternative.</t>
  </si>
  <si>
    <t>Ofrecemos una solución alternativa.</t>
  </si>
  <si>
    <t>engager</t>
  </si>
  <si>
    <t>Ils engagent un nouvel employé.</t>
  </si>
  <si>
    <t>Contratan a un nuevo empleado.</t>
  </si>
  <si>
    <t>souligner</t>
  </si>
  <si>
    <t>Elle souligne l'importance de la sécurité.</t>
  </si>
  <si>
    <t>Ella enfatiza la importancia de la seguridad.</t>
  </si>
  <si>
    <t>informer</t>
  </si>
  <si>
    <t>Il informe les étudiants des changements de programme.</t>
  </si>
  <si>
    <t>Informa a los estudiantes sobre los cambios de programa.</t>
  </si>
  <si>
    <t>devoir</t>
  </si>
  <si>
    <t>Nous devons respecter les délais.</t>
  </si>
  <si>
    <t>Debemos cumplir los plazos.</t>
  </si>
  <si>
    <t>occuper</t>
  </si>
  <si>
    <t>Elle s'occupe des plantes du jardin.</t>
  </si>
  <si>
    <t>Ella cuida las plantas del jardín.</t>
  </si>
  <si>
    <t>perdre</t>
  </si>
  <si>
    <t>Ils perdent rarement leurs affaires.</t>
  </si>
  <si>
    <t>Rara vez pierden sus cosas.</t>
  </si>
  <si>
    <t>remplacer</t>
  </si>
  <si>
    <t>Nous remplaçons les vieilles ampoules par des LED.</t>
  </si>
  <si>
    <t>Reemplazamos bombillas viejas por LED.</t>
  </si>
  <si>
    <t>rappeler</t>
  </si>
  <si>
    <t>Elle rappelle à ses amis de confirmer leur présence.</t>
  </si>
  <si>
    <t>Ella les recuerda a sus amigos que confirmen su asistencia.</t>
  </si>
  <si>
    <t>surveiller</t>
  </si>
  <si>
    <t>Ils surveillent le comportement des enfants.</t>
  </si>
  <si>
    <t>Supervisan el comportamiento de los niños.</t>
  </si>
  <si>
    <t>partager</t>
  </si>
  <si>
    <t>Nous partageons nos ressources avec les partenaires.</t>
  </si>
  <si>
    <t>Compartimos nuestros recursos con socios.</t>
  </si>
  <si>
    <t>rencontrer</t>
  </si>
  <si>
    <t>Elle rencontre souvent des gens intéressants.</t>
  </si>
  <si>
    <t>A menudo conoce gente interesante.</t>
  </si>
  <si>
    <t>conserver</t>
  </si>
  <si>
    <t>Ils conservent les archives dans un endroit sûr.</t>
  </si>
  <si>
    <t>Mantienen los registros en un lugar seguro.</t>
  </si>
  <si>
    <t>relever</t>
  </si>
  <si>
    <t>Nous relevons les données chaque heure.</t>
  </si>
  <si>
    <t>Recopilamos datos cada hora.</t>
  </si>
  <si>
    <t>financer</t>
  </si>
  <si>
    <t>Elle finance son projet avec ses économies.</t>
  </si>
  <si>
    <t>Ella financia su proyecto con sus ahorros.</t>
  </si>
  <si>
    <t>arriver</t>
  </si>
  <si>
    <t>Ils arrivent toujours à l'heure.</t>
  </si>
  <si>
    <t>Siempre llegan a tiempo.</t>
  </si>
  <si>
    <t>construire</t>
  </si>
  <si>
    <t>Nous construisons une nouvelle école.</t>
  </si>
  <si>
    <t>Estamos construyendo una nueva escuela.</t>
  </si>
  <si>
    <t>consulter</t>
  </si>
  <si>
    <t>Elle consulte un spécialiste pour obtenir des conseils.</t>
  </si>
  <si>
    <t>Ella consulta a un especialista para que le aconseje.</t>
  </si>
  <si>
    <t>servir</t>
  </si>
  <si>
    <t>Ils servent le dessert après le repas.</t>
  </si>
  <si>
    <t>Sirven postre después de la comida.</t>
  </si>
  <si>
    <t>mourir</t>
  </si>
  <si>
    <t>Nous mourons d'envie de connaître la suite.</t>
  </si>
  <si>
    <t>Nos morimos por saber qué pasará después.</t>
  </si>
  <si>
    <t>lancer</t>
  </si>
  <si>
    <t>Elle lance une nouvelle initiative écologique.</t>
  </si>
  <si>
    <t>Ella está lanzando una nueva iniciativa ecológica.</t>
  </si>
  <si>
    <t>envisager</t>
  </si>
  <si>
    <t>Ils envisagent d'agrandir leur entreprise.</t>
  </si>
  <si>
    <t>Planean expandir su negocio.</t>
  </si>
  <si>
    <t>exprimer</t>
  </si>
  <si>
    <t>Nous exprimons nos préoccupations au comité.</t>
  </si>
  <si>
    <t>Estamos expresando nuestras preocupaciones al comité.</t>
  </si>
  <si>
    <t>analyser</t>
  </si>
  <si>
    <t>Elle analyse les résultats de l'enquête.</t>
  </si>
  <si>
    <t>Ella analiza los resultados de la investigación.</t>
  </si>
  <si>
    <t>prévoir</t>
  </si>
  <si>
    <t>Ils prévoient des mesures de sécurité.</t>
  </si>
  <si>
    <t>Proporcionan medidas de seguridad.</t>
  </si>
  <si>
    <t>décider</t>
  </si>
  <si>
    <t>Nous décidons de partir en vacances.</t>
  </si>
  <si>
    <t>Decidimos irnos de vacaciones.</t>
  </si>
  <si>
    <t>noter</t>
  </si>
  <si>
    <t>Elle note les points importants de la réunion.</t>
  </si>
  <si>
    <t>Ella toma nota de los puntos importantes de la reunión.</t>
  </si>
  <si>
    <t>satisfaire</t>
  </si>
  <si>
    <t>Ils satisfont toujours les attentes des clients.</t>
  </si>
  <si>
    <t>Siempre satisfacen las expectativas del cliente.</t>
  </si>
  <si>
    <t>commander</t>
  </si>
  <si>
    <t>Nous commandons des fournitures de bureau.</t>
  </si>
  <si>
    <t>Realizamos pedidos de material de oficina.</t>
  </si>
  <si>
    <t>exécuter</t>
  </si>
  <si>
    <t>Il exécute les tâches avec précision.</t>
  </si>
  <si>
    <t>Realiza tareas con precisión.</t>
  </si>
  <si>
    <t>générer</t>
  </si>
  <si>
    <t>Elle génère des rapports mensuels.</t>
  </si>
  <si>
    <t>Genera informes mensuales.</t>
  </si>
  <si>
    <t>dîner</t>
  </si>
  <si>
    <t>Nous dînons ensemble chaque dimanche.</t>
  </si>
  <si>
    <t>Cenamos juntos todos los domingos.</t>
  </si>
  <si>
    <t>préciser</t>
  </si>
  <si>
    <t>Elle précise les instructions pour le projet.</t>
  </si>
  <si>
    <t>Especifica las instrucciones para el proyecto.</t>
  </si>
  <si>
    <t>retirer</t>
  </si>
  <si>
    <t>Ils retirent l'argent du compte.</t>
  </si>
  <si>
    <t>Retiran el dinero de la cuenta.</t>
  </si>
  <si>
    <t>entraîner</t>
  </si>
  <si>
    <t>Nous entraînons nos enfants à la natation.</t>
  </si>
  <si>
    <t>Entrenamos a nuestros hijos a nadar.</t>
  </si>
  <si>
    <t>tourner</t>
  </si>
  <si>
    <t>Elle tourne la page du livre.</t>
  </si>
  <si>
    <t>Ella pasa la página del libro.</t>
  </si>
  <si>
    <t>constituer</t>
  </si>
  <si>
    <t>Ils constituent une équipe soudée.</t>
  </si>
  <si>
    <t>Son un equipo unido.</t>
  </si>
  <si>
    <t>conseiller</t>
  </si>
  <si>
    <t>Nous conseillons nos clients sur les investissements.</t>
  </si>
  <si>
    <t>Asesoramos a nuestros clientes en inversiones.</t>
  </si>
  <si>
    <t>retrouver</t>
  </si>
  <si>
    <t>Elle retrouve ses amis chaque vendredi soir.</t>
  </si>
  <si>
    <t>Se reúne con sus amigos todos los viernes por la noche.</t>
  </si>
  <si>
    <t>préserver</t>
  </si>
  <si>
    <t>Ils préservent la biodiversité locale.</t>
  </si>
  <si>
    <t>Preservan la biodiversidad local.</t>
  </si>
  <si>
    <t>soumettre</t>
  </si>
  <si>
    <t>Nous soumettons notre projet pour approbation.</t>
  </si>
  <si>
    <t>Presentamos nuestro proyecto para su aprobación.</t>
  </si>
  <si>
    <t>quitter</t>
  </si>
  <si>
    <t>Elle quitte le bureau à 18 heures.</t>
  </si>
  <si>
    <t>Ella sale de la oficina a las 6 p.m.</t>
  </si>
  <si>
    <t>récupérer</t>
  </si>
  <si>
    <t>Ils récupèrent leurs affaires au vestiaire.</t>
  </si>
  <si>
    <t>Recogen sus cosas del vestuario.</t>
  </si>
  <si>
    <t>intervenir</t>
  </si>
  <si>
    <t>Nous intervenons en cas de conflit.</t>
  </si>
  <si>
    <t>Intervenimos en caso de conflicto.</t>
  </si>
  <si>
    <t>sauver</t>
  </si>
  <si>
    <t>Elle sauve un chaton abandonné.</t>
  </si>
  <si>
    <t>Rescata a un gatito abandonado.</t>
  </si>
  <si>
    <t>retourner</t>
  </si>
  <si>
    <t>Ils retournent à leur village natal chaque été.</t>
  </si>
  <si>
    <t>Todos los veranos regresan a su pueblo natal.</t>
  </si>
  <si>
    <t>introduire</t>
  </si>
  <si>
    <t>Nous introduisons de nouvelles pratiques durables.</t>
  </si>
  <si>
    <t>Estamos introduciendo nuevas prácticas sostenibles.</t>
  </si>
  <si>
    <t>enregistrer</t>
  </si>
  <si>
    <t>Elle enregistre ses podcasts chaque semaine.</t>
  </si>
  <si>
    <t>Graba sus podcasts todas las semanas.</t>
  </si>
  <si>
    <t>afficher</t>
  </si>
  <si>
    <t>Ils affichent les résultats sur le tableau.</t>
  </si>
  <si>
    <t>Muestran los resultados en la pizarra.</t>
  </si>
  <si>
    <t>remercier</t>
  </si>
  <si>
    <t>Nous remercions nos hôtes pour leur hospitalité.</t>
  </si>
  <si>
    <t>Agradecemos a nuestros anfitriones por su hospitalidad.</t>
  </si>
  <si>
    <t>visiter</t>
  </si>
  <si>
    <t>Elle visite des galeries d'art moderne.</t>
  </si>
  <si>
    <t>Visita galerías de arte moderno.</t>
  </si>
  <si>
    <t>monter</t>
  </si>
  <si>
    <t>Ils montent au sommet de la montagne.</t>
  </si>
  <si>
    <t>Suben a la cima de la montaña.</t>
  </si>
  <si>
    <t>revoir</t>
  </si>
  <si>
    <t>Nous revoyons le plan avant de l'exécuter.</t>
  </si>
  <si>
    <t>Revisamos el plan antes de ejecutarlo.</t>
  </si>
  <si>
    <t>écouter</t>
  </si>
  <si>
    <t>Elle écoute attentivement les conseils de son mentor.</t>
  </si>
  <si>
    <t>Escucha atentamente los consejos de su mentor.</t>
  </si>
  <si>
    <t>accueillir</t>
  </si>
  <si>
    <t>Ils accueillent les invités avec un sourire.</t>
  </si>
  <si>
    <t>Reciben a los huéspedes con una sonrisa.</t>
  </si>
  <si>
    <t>attirer</t>
  </si>
  <si>
    <t>Nous attirons des talents grâce à nos avantages sociaux.</t>
  </si>
  <si>
    <t>Atraemos talento a través de nuestros beneficios.</t>
  </si>
  <si>
    <t>revenir</t>
  </si>
  <si>
    <t>Il revient toujours à la maison pour Noël.</t>
  </si>
  <si>
    <t>Siempre vuelve a casa en Navidad.</t>
  </si>
  <si>
    <t>écrire</t>
  </si>
  <si>
    <t>Elle écrit dans son journal tous les soirs.</t>
  </si>
  <si>
    <t>Escribe en su diario todas las noches.</t>
  </si>
  <si>
    <t>accélérer</t>
  </si>
  <si>
    <t>Ils accélèrent le rythme de travail pour respecter les délais.</t>
  </si>
  <si>
    <t>Aceleran el ritmo de trabajo para cumplir los plazos.</t>
  </si>
  <si>
    <t>imposer</t>
  </si>
  <si>
    <t>Nous imposons des règles strictes pour garantir la sécurité.</t>
  </si>
  <si>
    <t>Imponemos reglas estrictas para garantizar la seguridad.</t>
  </si>
  <si>
    <t>vendre</t>
  </si>
  <si>
    <t>Elle vend des œuvres d'art en ligne.</t>
  </si>
  <si>
    <t>Ella vende obras de arte en línea.</t>
  </si>
  <si>
    <t>défendre</t>
  </si>
  <si>
    <t>Ils défendent leurs droits avec vigueur.</t>
  </si>
  <si>
    <t>Defienden sus derechos vigorosamente.</t>
  </si>
  <si>
    <t>reprendre</t>
  </si>
  <si>
    <t>Nous reprenons le projet après une pause.</t>
  </si>
  <si>
    <t>Reanudamos el proyecto después de un descanso.</t>
  </si>
  <si>
    <t>supprimer</t>
  </si>
  <si>
    <t>Il supprime les fichiers obsolètes de son ordinateur.</t>
  </si>
  <si>
    <t>Elimina archivos obsoletos de su computadora.</t>
  </si>
  <si>
    <t>amener</t>
  </si>
  <si>
    <t>Elle amène des biscuits faits maison au bureau.</t>
  </si>
  <si>
    <t>Trae galletas caseras a la oficina.</t>
  </si>
  <si>
    <t>conclure</t>
  </si>
  <si>
    <t>Nous concluons notre discours par une citation inspirante.</t>
  </si>
  <si>
    <t>Concluimos nuestro discurso con una cita inspiradora.</t>
  </si>
  <si>
    <t>fonctionner</t>
  </si>
  <si>
    <t>Ils fonctionnent bien sous pression.</t>
  </si>
  <si>
    <t>Funcionan bien bajo presión.</t>
  </si>
  <si>
    <t>poser</t>
  </si>
  <si>
    <t>Elle pose des questions pertinentes pendant la réunion.</t>
  </si>
  <si>
    <t>Ella hace preguntas relevantes durante la reunión.</t>
  </si>
  <si>
    <t>télécharger</t>
  </si>
  <si>
    <t>Nous téléchargeons les dernières mises à jour.</t>
  </si>
  <si>
    <t>Descargamos las últimas actualizaciones.</t>
  </si>
  <si>
    <t>compter</t>
  </si>
  <si>
    <t>Ils comptent les jours jusqu'aux vacances.</t>
  </si>
  <si>
    <t>Están contando los días para las vacaciones.</t>
  </si>
  <si>
    <t>couvrir</t>
  </si>
  <si>
    <t>Nous couvrons l'événement en direct.</t>
  </si>
  <si>
    <t>Estamos cubriendo el evento en vivo.</t>
  </si>
  <si>
    <t>accéder</t>
  </si>
  <si>
    <t>Elle accède à ses documents depuis n'importe quel appareil.</t>
  </si>
  <si>
    <t>Accede a sus documentos desde cualquier dispositivo.</t>
  </si>
  <si>
    <t>acquérir</t>
  </si>
  <si>
    <t>Ils acquièrent de nouvelles compétences grâce à la formation.</t>
  </si>
  <si>
    <t>Aprenden nuevas habilidades a través del entrenamiento.</t>
  </si>
  <si>
    <t>considérer</t>
  </si>
  <si>
    <t>Nous considérons toutes les options avant de prendre une décision.</t>
  </si>
  <si>
    <t>Consideramos todas las opciones antes de tomar una decisión.</t>
  </si>
  <si>
    <t>sélectionner</t>
  </si>
  <si>
    <t>Elle sélectionne toujours les meilleurs ingrédients pour ses recettes.</t>
  </si>
  <si>
    <t>Ella siempre selecciona los mejores ingredientes para sus recetas.</t>
  </si>
  <si>
    <t>combattre</t>
  </si>
  <si>
    <t>Nous combattons ensemble pour une cause juste.</t>
  </si>
  <si>
    <t>Luchamos juntos por una causa justa.</t>
  </si>
  <si>
    <t>contacter</t>
  </si>
  <si>
    <t>Il contacte ses clients par téléphone.</t>
  </si>
  <si>
    <t>Se pone en contacto con sus clientes por teléfono.</t>
  </si>
  <si>
    <t>placer</t>
  </si>
  <si>
    <t>Elle place les livres sur l'étagère.</t>
  </si>
  <si>
    <t>Coloca los libros en el estante.</t>
  </si>
  <si>
    <t>rentrer</t>
  </si>
  <si>
    <t>Ils rentrent à la maison après une longue journée.</t>
  </si>
  <si>
    <t>Regresan a casa después de un largo día.</t>
  </si>
  <si>
    <t>calculer</t>
  </si>
  <si>
    <t>Nous calculons les coûts du projet.</t>
  </si>
  <si>
    <t>Calculamos los costes del proyecto.</t>
  </si>
  <si>
    <t>installer</t>
  </si>
  <si>
    <t>Elle installe le nouveau logiciel sur son ordinateur.</t>
  </si>
  <si>
    <t>Instala el nuevo software en su computadora.</t>
  </si>
  <si>
    <t>adapter</t>
  </si>
  <si>
    <t>Ils adaptent leurs stratégies en fonction des résultats.</t>
  </si>
  <si>
    <t>Adaptan sus estrategias en función de los resultados.</t>
  </si>
  <si>
    <t>saisir</t>
  </si>
  <si>
    <t>Nous saisissons chaque opportunité qui se présente.</t>
  </si>
  <si>
    <t>Aprovechamos cada oportunidad que se presenta.</t>
  </si>
  <si>
    <t>essayer</t>
  </si>
  <si>
    <t>Elle essaye une nouvelle recette pour le dîner.</t>
  </si>
  <si>
    <t>Está probando una nueva receta para la cena.</t>
  </si>
  <si>
    <t>investir</t>
  </si>
  <si>
    <t>Ils investissent dans des technologies innovantes.</t>
  </si>
  <si>
    <t>Invierten en tecnologías innovadoras.</t>
  </si>
  <si>
    <t>confirmer</t>
  </si>
  <si>
    <t>Nous confirmons notre participation à l'événement.</t>
  </si>
  <si>
    <t>Confirmamos nuestra participación en el evento.</t>
  </si>
  <si>
    <t>joindre</t>
  </si>
  <si>
    <t>Elle joint une photo à son e-mail.</t>
  </si>
  <si>
    <t>Adjunta una foto a su correo electrónico.</t>
  </si>
  <si>
    <t>limiter</t>
  </si>
  <si>
    <t>Ils limitent l'utilisation de plastique dans leur entreprise.</t>
  </si>
  <si>
    <t>Limitan el uso de plástico en su negocio.</t>
  </si>
  <si>
    <t>déposer</t>
  </si>
  <si>
    <t>Nous déposons les documents à la réception.</t>
  </si>
  <si>
    <t>Dejamos los documentos en recepción.</t>
  </si>
  <si>
    <t>remettre</t>
  </si>
  <si>
    <t>Elle remet le rapport à son superviseur.</t>
  </si>
  <si>
    <t>Ella le entrega el informe a su supervisor.</t>
  </si>
  <si>
    <t>boire</t>
  </si>
  <si>
    <t>Ils boivent du café chaque matin.</t>
  </si>
  <si>
    <t>Toman café todas las mañanas.</t>
  </si>
  <si>
    <t>sentir</t>
  </si>
  <si>
    <t>Nous sentons la fraîcheur de la brise marine.</t>
  </si>
  <si>
    <t>Sentimos el frescor de la brisa del mar.</t>
  </si>
  <si>
    <t>coûter</t>
  </si>
  <si>
    <t>Elle demande combien cela coûte.</t>
  </si>
  <si>
    <t>Ella pregunta cuánto cuesta.</t>
  </si>
  <si>
    <t>transférer</t>
  </si>
  <si>
    <t>Ils transfèrent des fonds à leur compte épargne.</t>
  </si>
  <si>
    <t>Transfieren fondos a su cuenta de ahorros.</t>
  </si>
  <si>
    <t>représenter</t>
  </si>
  <si>
    <t>Nous représentons notre entreprise lors de la conférence.</t>
  </si>
  <si>
    <t>Representamos a nuestra empresa en la conferencia.</t>
  </si>
  <si>
    <t>contribuer</t>
  </si>
  <si>
    <t>Elle contribue activement au projet de recherche.</t>
  </si>
  <si>
    <t>Contribuye activamente al proyecto de investigación.</t>
  </si>
  <si>
    <t>rejoindre</t>
  </si>
  <si>
    <t>Ils rejoignent le club de lecture.</t>
  </si>
  <si>
    <t>Se unen al club de lectura.</t>
  </si>
  <si>
    <t>acquitter</t>
  </si>
  <si>
    <t>Nous acquittons nos dettes à temps.</t>
  </si>
  <si>
    <t>Pagamos nuestras deudas a tiempo.</t>
  </si>
  <si>
    <t>diminuer</t>
  </si>
  <si>
    <t>Elle diminue sa consommation de sucre.</t>
  </si>
  <si>
    <t>Reduce su consumo de azúcar.</t>
  </si>
  <si>
    <t>élargir</t>
  </si>
  <si>
    <t>Ils élargissent leur gamme de produits.</t>
  </si>
  <si>
    <t>Están ampliando su gama de productos.</t>
  </si>
  <si>
    <t>discuter</t>
  </si>
  <si>
    <t>Nous discutons des plans pour le week-end.</t>
  </si>
  <si>
    <t>Discutimos planes para el fin de semana.</t>
  </si>
  <si>
    <t>disposer</t>
  </si>
  <si>
    <t>Elle dispose les chaises en cercle pour la réunion.</t>
  </si>
  <si>
    <t>Coloca las sillas en círculo para la reunión.</t>
  </si>
  <si>
    <t>accomplir</t>
  </si>
  <si>
    <t>Ils accomplissent toutes leurs tâches avec diligence.</t>
  </si>
  <si>
    <t>Realizan todas sus tareas con diligencia.</t>
  </si>
  <si>
    <t>fabriquer</t>
  </si>
  <si>
    <t>Nous fabriquons des jouets en bois.</t>
  </si>
  <si>
    <t>Hacemos juguetes de madera.</t>
  </si>
  <si>
    <t>conduire</t>
  </si>
  <si>
    <t>Elle conduit prudemment en ville.</t>
  </si>
  <si>
    <t>Conduce con cuidado en la ciudad.</t>
  </si>
  <si>
    <t>terminer</t>
  </si>
  <si>
    <t>Ils terminent le projet avant la date limite.</t>
  </si>
  <si>
    <t>Completan el proyecto antes de la fecha límite.</t>
  </si>
  <si>
    <t>signaler</t>
  </si>
  <si>
    <t>Nous signalons un problème technique au support.</t>
  </si>
  <si>
    <t>Estamos informando un problema técnico al soporte.</t>
  </si>
  <si>
    <t>étendre</t>
  </si>
  <si>
    <t>Elle étend la nappe sur la table.</t>
  </si>
  <si>
    <t>Extiende el mantel sobre la mesa.</t>
  </si>
  <si>
    <t>voter</t>
  </si>
  <si>
    <t>Ils votent pour le nouveau président.</t>
  </si>
  <si>
    <t>Votan por el nuevo presidente.</t>
  </si>
  <si>
    <t>compléter</t>
  </si>
  <si>
    <t>Nous complétons le formulaire en ligne.</t>
  </si>
  <si>
    <t>Completamos el formulario en línea.</t>
  </si>
  <si>
    <t>enlever</t>
  </si>
  <si>
    <t>Elle enlève la poussière des meubles.</t>
  </si>
  <si>
    <t>Elimina el polvo de los muebles.</t>
  </si>
  <si>
    <t>comporter</t>
  </si>
  <si>
    <t>Ils comportent toujours de manière professionnelle.</t>
  </si>
  <si>
    <t>Siempre se comportan profesionalmente.</t>
  </si>
  <si>
    <t>profiter</t>
  </si>
  <si>
    <t>Nous profitons du beau temps pour faire une promenade.</t>
  </si>
  <si>
    <t>Aprovechamos el buen tiempo para dar un paseo.</t>
  </si>
  <si>
    <t>oublier</t>
  </si>
  <si>
    <t>Elle oublie souvent ses clés.</t>
  </si>
  <si>
    <t>A menudo olvida sus llaves.</t>
  </si>
  <si>
    <t>rechercher</t>
  </si>
  <si>
    <t>Ils recherchent des informations sur Internet.</t>
  </si>
  <si>
    <t>Buscan información en Internet.</t>
  </si>
  <si>
    <t>déplacer</t>
  </si>
  <si>
    <t>Nous déplaçons les meubles pour faire de la place.</t>
  </si>
  <si>
    <t>Movemos muebles para hacer espacio.</t>
  </si>
  <si>
    <t>supporter</t>
  </si>
  <si>
    <t>Elle supporte les critiques avec patience.</t>
  </si>
  <si>
    <t>Soporta las críticas con paciencia.</t>
  </si>
  <si>
    <t>toucher</t>
  </si>
  <si>
    <t>Ils touchent un salaire attractif.</t>
  </si>
  <si>
    <t>Reciben un salario atractivo.</t>
  </si>
  <si>
    <t>détruire</t>
  </si>
  <si>
    <t>Nous détruisons les documents confidentiels.</t>
  </si>
  <si>
    <t>Destruimos documentos confidenciales.</t>
  </si>
  <si>
    <t>disparaître</t>
  </si>
  <si>
    <t>Elle disparaît souvent sans prévenir.</t>
  </si>
  <si>
    <t>A menudo desaparece sin previo aviso.</t>
  </si>
  <si>
    <t>finir</t>
  </si>
  <si>
    <t>Ils finissent toujours leur travail à temps.</t>
  </si>
  <si>
    <t>Siempre terminan su trabajo a tiempo.</t>
  </si>
  <si>
    <t>retenir</t>
  </si>
  <si>
    <t>Nous retenons les leçons apprises.</t>
  </si>
  <si>
    <t>Recordamos las lecciones aprendidas.</t>
  </si>
  <si>
    <t>entreprendre</t>
  </si>
  <si>
    <t>Elle entreprend un voyage autour du monde.</t>
  </si>
  <si>
    <t>Ella emprende un viaje alrededor del mundo.</t>
  </si>
  <si>
    <t>tomber</t>
  </si>
  <si>
    <t>Ils tombent amoureux à Paris.</t>
  </si>
  <si>
    <t>Se enamoran en París.</t>
  </si>
  <si>
    <t>transformer</t>
  </si>
  <si>
    <t>Nous transformons des idées en actions concrètes.</t>
  </si>
  <si>
    <t>Transformamos ideas en acciones concretas.</t>
  </si>
  <si>
    <t>corriger</t>
  </si>
  <si>
    <t>Elle corrige les erreurs dans le document.</t>
  </si>
  <si>
    <t>Corrige errores en el documento.</t>
  </si>
  <si>
    <t>collaborer</t>
  </si>
  <si>
    <t>Ils collaborent sur un projet artistique.</t>
  </si>
  <si>
    <t>Colaboran en un proyecto artístico.</t>
  </si>
  <si>
    <t>diffuser</t>
  </si>
  <si>
    <t>Nous diffusons des informations importantes.</t>
  </si>
  <si>
    <t>Difundimos información importante.</t>
  </si>
  <si>
    <t>exploiter</t>
  </si>
  <si>
    <t>Elle exploite pleinement son potentiel.</t>
  </si>
  <si>
    <t>Ella explota plenamente su potencial.</t>
  </si>
  <si>
    <t>inscrire</t>
  </si>
  <si>
    <t>Ils inscrivent leurs enfants à l'école.</t>
  </si>
  <si>
    <t>Inscriben a sus hijos en la escuela.</t>
  </si>
  <si>
    <t>concevoir</t>
  </si>
  <si>
    <t>Nous concevons un nouveau produit innovant.</t>
  </si>
  <si>
    <t>Estamos diseñando un nuevo producto innovador.</t>
  </si>
  <si>
    <t>verser</t>
  </si>
  <si>
    <t>Elle verse du lait dans son café.</t>
  </si>
  <si>
    <t>Ella vierte leche en su café.</t>
  </si>
  <si>
    <t>observer</t>
  </si>
  <si>
    <t>Ils observent les étoiles la nuit.</t>
  </si>
  <si>
    <t>Observan las estrellas por la noche.</t>
  </si>
  <si>
    <t>déjeuner</t>
  </si>
  <si>
    <t>Nous déjeunons ensemble tous les dimanches.</t>
  </si>
  <si>
    <t>Almorzamos juntos todos los domingos.</t>
  </si>
  <si>
    <t>contenir</t>
  </si>
  <si>
    <t>Elle contient ses émotions en public.</t>
  </si>
  <si>
    <t>Ella contiene sus emociones en público.</t>
  </si>
  <si>
    <t>coordonner</t>
  </si>
  <si>
    <t>Ils coordonnent les efforts de l'équipe.</t>
  </si>
  <si>
    <t>Coordinan los esfuerzos del equipo.</t>
  </si>
  <si>
    <t>recueillir</t>
  </si>
  <si>
    <t>Nous recueillons des données pour l'étude.</t>
  </si>
  <si>
    <t>Estamos recopilando datos para el estudio.</t>
  </si>
  <si>
    <t>prouver</t>
  </si>
  <si>
    <t>Elle prouve son innocence devant le tribunal.</t>
  </si>
  <si>
    <t>Ella demuestra su inocencia ante el tribunal.</t>
  </si>
  <si>
    <t>couper</t>
  </si>
  <si>
    <t>Ils coupent du bois pour la cheminée.</t>
  </si>
  <si>
    <t>Están cortando leña para la chimenea.</t>
  </si>
  <si>
    <t>féliciter</t>
  </si>
  <si>
    <t>Nous félicitons les lauréats du concours.</t>
  </si>
  <si>
    <t>Felicitamos a los ganadores del concurso.</t>
  </si>
  <si>
    <t>justifier</t>
  </si>
  <si>
    <t>Elle justifie ses décisions avec des preuves.</t>
  </si>
  <si>
    <t>Justifica sus decisiones con pruebas.</t>
  </si>
  <si>
    <t>décrire</t>
  </si>
  <si>
    <t>Ils décrivent le paysage avec des mots poétiques.</t>
  </si>
  <si>
    <t>Describen el paisaje con palabras poéticas.</t>
  </si>
  <si>
    <t>signer</t>
  </si>
  <si>
    <t>Nous signons le contrat aujourd'hui.</t>
  </si>
  <si>
    <t>Estamos firmando el contrato hoy.</t>
  </si>
  <si>
    <t>parvenir</t>
  </si>
  <si>
    <t>Elle parvient à équilibrer travail et vie personnelle.</t>
  </si>
  <si>
    <t>Consigue conciliar el trabajo y la vida personal.</t>
  </si>
  <si>
    <t>constater</t>
  </si>
  <si>
    <t>Ils constatent les progrès réalisés.</t>
  </si>
  <si>
    <t>Ven el progreso realizado.</t>
  </si>
  <si>
    <t>fier</t>
  </si>
  <si>
    <t>Nous sommes fiers de nos réalisations.</t>
  </si>
  <si>
    <t>Estamos orgullosos de nuestros logros.</t>
  </si>
  <si>
    <t>assumer</t>
  </si>
  <si>
    <t>Elle assume la responsabilité de ses actes.</t>
  </si>
  <si>
    <t>Ella asume la responsabilidad de sus acciones.</t>
  </si>
  <si>
    <t>vouloir</t>
  </si>
  <si>
    <t>Ils veulent voyager à travers le monde.</t>
  </si>
  <si>
    <t>Quieren viajar por el mundo.</t>
  </si>
  <si>
    <t>souvenir</t>
  </si>
  <si>
    <t>Nous nous souvenons de notre enfance.</t>
  </si>
  <si>
    <t>Recordamos nuestra infancia.</t>
  </si>
  <si>
    <t>réagir</t>
  </si>
  <si>
    <t>Elle réagit rapidement aux changements.</t>
  </si>
  <si>
    <t>Responde rápidamente a los cambios.</t>
  </si>
  <si>
    <t>dépasser</t>
  </si>
  <si>
    <t>Ils dépassent toujours les attentes.</t>
  </si>
  <si>
    <t>Siempre superan las expectativas.</t>
  </si>
  <si>
    <t>distribuer</t>
  </si>
  <si>
    <t>Nous distribuons des tracts publicitaires.</t>
  </si>
  <si>
    <t>Distribuimos folletos publicitarios.</t>
  </si>
  <si>
    <t>libérer</t>
  </si>
  <si>
    <t>Elle libère des places pour les nouveaux arrivants.</t>
  </si>
  <si>
    <t>Libera plazas para los recién llegados.</t>
  </si>
  <si>
    <t>publier</t>
  </si>
  <si>
    <t>Ils publient un article dans le journal.</t>
  </si>
  <si>
    <t>Publican un artículo en el periódico.</t>
  </si>
  <si>
    <t>dormir</t>
  </si>
  <si>
    <t>Nous dormons huit heures par nuit.</t>
  </si>
  <si>
    <t>Dormimos ocho horas por noche.</t>
  </si>
  <si>
    <t>stimuler</t>
  </si>
  <si>
    <t>Elle stimule la créativité de ses étudiants.</t>
  </si>
  <si>
    <t>Estimula la creatividad de sus alumnos.</t>
  </si>
  <si>
    <t>démontrer</t>
  </si>
  <si>
    <t>Ils démontrent leurs compétences lors de l'entretien.</t>
  </si>
  <si>
    <t>Demuestran sus habilidades durante la entrevista.</t>
  </si>
  <si>
    <t>formuler</t>
  </si>
  <si>
    <t>Nous formulons des hypothèses pour l'expérience.</t>
  </si>
  <si>
    <t>Formulamos hipótesis para el experimento.</t>
  </si>
  <si>
    <t>séparer</t>
  </si>
  <si>
    <t>Elle sépare les vêtements par couleur avant de les laver.</t>
  </si>
  <si>
    <t>Separa la ropa por color antes de lavarla.</t>
  </si>
  <si>
    <t>marcher</t>
  </si>
  <si>
    <t>Ils marchent dans le parc tous les matins.</t>
  </si>
  <si>
    <t>Caminan por el parque todas las mañanas.</t>
  </si>
  <si>
    <t>émettre</t>
  </si>
  <si>
    <t>Nous émettons un avis favorable sur la proposition.</t>
  </si>
  <si>
    <t>Expresamos una opinión favorable sobre la propuesta.</t>
  </si>
  <si>
    <t>réfléchir</t>
  </si>
  <si>
    <t>Elle réfléchit avant de prendre une décision.</t>
  </si>
  <si>
    <t>Ella piensa antes de tomar una decisión.</t>
  </si>
  <si>
    <t>diriger</t>
  </si>
  <si>
    <t>Ils dirigent l'entreprise avec succès.</t>
  </si>
  <si>
    <t>Dirigen el negocio con éxito.</t>
  </si>
  <si>
    <t>négocier</t>
  </si>
  <si>
    <t>Nous négocions un accord bénéfique pour les deux parties.</t>
  </si>
  <si>
    <t>Negociamos un acuerdo mutuamente beneficioso.</t>
  </si>
  <si>
    <t>autoriser</t>
  </si>
  <si>
    <t>Elle autorise l'accès aux fichiers confidentiels.</t>
  </si>
  <si>
    <t>Permite el acceso a archivos confidenciales.</t>
  </si>
  <si>
    <t>refuser</t>
  </si>
  <si>
    <t>Ils refusent de signer le contrat.</t>
  </si>
  <si>
    <t>Se niegan a firmar el contrato.</t>
  </si>
  <si>
    <t>ramener</t>
  </si>
  <si>
    <t>Nous ramenons les enfants à la maison.</t>
  </si>
  <si>
    <t>Llevamos a los niños a casa.</t>
  </si>
  <si>
    <t>voler</t>
  </si>
  <si>
    <t>Elle vole à travers le pays pour son travail.</t>
  </si>
  <si>
    <t>Vuela por todo el país por su trabajo.</t>
  </si>
  <si>
    <t>provoquer</t>
  </si>
  <si>
    <t>Ils provoquent un changement significatif dans la communauté.</t>
  </si>
  <si>
    <t>Provocan cambios significativos en la comunidad.</t>
  </si>
  <si>
    <t>mentionner</t>
  </si>
  <si>
    <t>Nous mentionnons toujours nos sources dans nos travaux.</t>
  </si>
  <si>
    <t>Siempre mencionamos nuestras fuentes en nuestro trabajo.</t>
  </si>
  <si>
    <t>avancer</t>
  </si>
  <si>
    <t>Elle avance lentement mais sûrement.</t>
  </si>
  <si>
    <t>Ella avanza lenta pero seguramente.</t>
  </si>
  <si>
    <t>transporter</t>
  </si>
  <si>
    <t>Ils transportent des marchandises à travers le pays.</t>
  </si>
  <si>
    <t>Transportan mercancías a todo el país.</t>
  </si>
  <si>
    <t>lever</t>
  </si>
  <si>
    <t>Nous levons nos verres pour trinquer.</t>
  </si>
  <si>
    <t>Levantamos nuestras copas para brindar.</t>
  </si>
  <si>
    <t>réparer</t>
  </si>
  <si>
    <t>Elle répare les erreurs dans le code.</t>
  </si>
  <si>
    <t>Corrige errores en el código.</t>
  </si>
  <si>
    <t>convaincre</t>
  </si>
  <si>
    <t>Elle convainc ses amis de partir en vacances ensemble.</t>
  </si>
  <si>
    <t>Convence a sus amigos para que se vayan de vacaciones juntos.</t>
  </si>
  <si>
    <t>comparer</t>
  </si>
  <si>
    <t>Nous comparons les prix avant d'acheter.</t>
  </si>
  <si>
    <t>Comparamos precios antes de comprar.</t>
  </si>
  <si>
    <t>surmonter</t>
  </si>
  <si>
    <t>Il surmonte ses peurs avec courage.</t>
  </si>
  <si>
    <t>Supera sus miedos con valentía.</t>
  </si>
  <si>
    <t>instaurer</t>
  </si>
  <si>
    <t>Nous instaurons une nouvelle politique de travail.</t>
  </si>
  <si>
    <t>Estamos introduciendo una nueva política de trabajo.</t>
  </si>
  <si>
    <t>stocker</t>
  </si>
  <si>
    <t>Elle stocke les provisions pour l'hiver.</t>
  </si>
  <si>
    <t>Almacena provisiones para el invierno.</t>
  </si>
  <si>
    <t>officier</t>
  </si>
  <si>
    <t>Ils officient lors de la cérémonie de mariage.</t>
  </si>
  <si>
    <t>Ofician la ceremonia nupcial.</t>
  </si>
  <si>
    <t>déclarer</t>
  </si>
  <si>
    <t>Nous déclarons nos revenus chaque année.</t>
  </si>
  <si>
    <t>Informamos nuestros ingresos cada año.</t>
  </si>
  <si>
    <t>atténuer</t>
  </si>
  <si>
    <t>Elle atténue la douleur avec un médicament.</t>
  </si>
  <si>
    <t>Alivia el dolor con medicación.</t>
  </si>
  <si>
    <t>approuver</t>
  </si>
  <si>
    <t>Ils approuvent la proposition sans hésiter.</t>
  </si>
  <si>
    <t>Aprueban la propuesta sin dudarlo.</t>
  </si>
  <si>
    <t>imprimer</t>
  </si>
  <si>
    <t>Nous imprimons les documents pour la réunion.</t>
  </si>
  <si>
    <t>Imprimimos los documentos para la reunión.</t>
  </si>
  <si>
    <t>remédier</t>
  </si>
  <si>
    <t>Elle remédie aux problèmes techniques rapidement.</t>
  </si>
  <si>
    <t>Resuelve problemas técnicos rápidamente.</t>
  </si>
  <si>
    <t>nettoyer</t>
  </si>
  <si>
    <t>Ils nettoient la maison chaque samedi.</t>
  </si>
  <si>
    <t>Limpian la casa todos los sábados.</t>
  </si>
  <si>
    <t>explorer</t>
  </si>
  <si>
    <t>Nous explorons des idées innovantes pour le projet.</t>
  </si>
  <si>
    <t>Estamos explorando ideas innovadoras para el proyecto.</t>
  </si>
  <si>
    <t>inviter</t>
  </si>
  <si>
    <t>Elle invite ses amis à dîner.</t>
  </si>
  <si>
    <t>Invita a sus amigos a cenar.</t>
  </si>
  <si>
    <t>subir</t>
  </si>
  <si>
    <t>Ils subissent une opération chirurgicale.</t>
  </si>
  <si>
    <t>Se someten a cirugía.</t>
  </si>
  <si>
    <t>guider</t>
  </si>
  <si>
    <t>Nous guidons les touristes à travers la ville.</t>
  </si>
  <si>
    <t>Guiamos a los turistas por la ciudad.</t>
  </si>
  <si>
    <t>prononcer</t>
  </si>
  <si>
    <t>Elle prononce un discours inspirant.</t>
  </si>
  <si>
    <t>Ella da un discurso inspirador.</t>
  </si>
  <si>
    <t>optimiser</t>
  </si>
  <si>
    <t>Ils optimisent le processus de production.</t>
  </si>
  <si>
    <t>Optimizan el proceso de producción.</t>
  </si>
  <si>
    <t>aimer</t>
  </si>
  <si>
    <t>Nous aimons passer du temps en famille.</t>
  </si>
  <si>
    <t>Nos encanta pasar tiempo con la familia.</t>
  </si>
  <si>
    <t>procéder</t>
  </si>
  <si>
    <t>Elle procède aux vérifications nécessaires.</t>
  </si>
  <si>
    <t>Ella realiza los controles necesarios.</t>
  </si>
  <si>
    <t>abandonner</t>
  </si>
  <si>
    <t>Ils abandonnent le projet après plusieurs tentatives infructueuses.</t>
  </si>
  <si>
    <t>Abandonaron el proyecto tras varios intentos fallidos.</t>
  </si>
  <si>
    <t>apprécier</t>
  </si>
  <si>
    <t>Nous apprécions la beauté du paysage.</t>
  </si>
  <si>
    <t>Apreciamos la belleza del paisaje.</t>
  </si>
  <si>
    <t>affecter</t>
  </si>
  <si>
    <t>Elle affecte les ressources de manière équitable.</t>
  </si>
  <si>
    <t>Asigna los recursos de manera equitativa.</t>
  </si>
  <si>
    <t>consacrer</t>
  </si>
  <si>
    <t>Ils consacrent du temps à leurs loisirs.</t>
  </si>
  <si>
    <t>Dedican tiempo a sus pasatiempos.</t>
  </si>
  <si>
    <t>échanger</t>
  </si>
  <si>
    <t>Nous échangeons des idées lors des réunions.</t>
  </si>
  <si>
    <t>Intercambiamos ideas durante las reuniones.</t>
  </si>
  <si>
    <t>accompagner</t>
  </si>
  <si>
    <t>Elle accompagne son ami à l'hôpital.</t>
  </si>
  <si>
    <t>Ella acompaña a su amiga al hospital.</t>
  </si>
  <si>
    <t>extraire</t>
  </si>
  <si>
    <t>Ils extraient les minéraux des mines.</t>
  </si>
  <si>
    <t>Extraen minerales de las minas.</t>
  </si>
  <si>
    <t>battre</t>
  </si>
  <si>
    <t>Nous battons des records de vente cette année.</t>
  </si>
  <si>
    <t>Este año estamos batiendo récords de ventas.</t>
  </si>
  <si>
    <t>sensibiliser</t>
  </si>
  <si>
    <t>Elle sensibilise le public aux enjeux environnementaux.</t>
  </si>
  <si>
    <t>Aumenta la conciencia pública sobre las cuestiones medioambientales.</t>
  </si>
  <si>
    <t>annoncer</t>
  </si>
  <si>
    <t>Ils annoncent le lancement du nouveau produit.</t>
  </si>
  <si>
    <t>Anuncian el lanzamiento del nuevo producto.</t>
  </si>
  <si>
    <t>mobiliser</t>
  </si>
  <si>
    <t>Nous mobilisons les ressources nécessaires pour le projet.</t>
  </si>
  <si>
    <t>Movilizamos los recursos necesarios para el proyecto.</t>
  </si>
  <si>
    <t>annuler</t>
  </si>
  <si>
    <t>Elle annule la réservation de l'hôtel.</t>
  </si>
  <si>
    <t>Ella cancela la reserva del hotel.</t>
  </si>
  <si>
    <t>convertir</t>
  </si>
  <si>
    <t>Ils convertissent les fichiers en PDF.</t>
  </si>
  <si>
    <t>Convierten archivos a PDF.</t>
  </si>
  <si>
    <t>combler</t>
  </si>
  <si>
    <t>Nous comblons les lacunes dans nos connaissances.</t>
  </si>
  <si>
    <t>Llenamos los vacíos de nuestro conocimiento.</t>
  </si>
  <si>
    <t>exiger</t>
  </si>
  <si>
    <t>Elle exige des explications de son employé.</t>
  </si>
  <si>
    <t>Exige explicaciones a su empleada.</t>
  </si>
  <si>
    <t>rétablir</t>
  </si>
  <si>
    <t>Ils rétablissent l'ordre après la crise.</t>
  </si>
  <si>
    <t>Restauran el orden después de la crisis.</t>
  </si>
  <si>
    <t>progresser</t>
  </si>
  <si>
    <t>Nous progressons rapidement dans nos études.</t>
  </si>
  <si>
    <t>Estamos progresando rápidamente en nuestros estudios.</t>
  </si>
  <si>
    <t>cacher</t>
  </si>
  <si>
    <t>Elle cache ses émotions derrière un sourire.</t>
  </si>
  <si>
    <t>Ella esconde sus emociones detrás de una sonrisa.</t>
  </si>
  <si>
    <t>brûler</t>
  </si>
  <si>
    <t>Ils brûlent les feuilles mortes dans le jardin.</t>
  </si>
  <si>
    <t>Queman hojas muertas en el jardín.</t>
  </si>
  <si>
    <t>emmener</t>
  </si>
  <si>
    <t>Nous emmenons les enfants au zoo.</t>
  </si>
  <si>
    <t>Llevamos a los niños al zoológico.</t>
  </si>
  <si>
    <t>interdire</t>
  </si>
  <si>
    <t>Elle interdit l'utilisation de téléphones en classe.</t>
  </si>
  <si>
    <t>Prohíbe el uso de teléfonos en clase.</t>
  </si>
  <si>
    <t>adresser</t>
  </si>
  <si>
    <t>Ils adressent leurs questions au directeur.</t>
  </si>
  <si>
    <t>Dirigen sus preguntas al director.</t>
  </si>
  <si>
    <t>traverser</t>
  </si>
  <si>
    <t>Nous traversons la rue prudemment.</t>
  </si>
  <si>
    <t>Cruzamos la calle con cuidado.</t>
  </si>
  <si>
    <t>inciter</t>
  </si>
  <si>
    <t>Elle incite les élèves à participer activement.</t>
  </si>
  <si>
    <t>Anima a los estudiantes a participar activamente.</t>
  </si>
  <si>
    <t>répéter</t>
  </si>
  <si>
    <t>Ils répètent la pièce de théâtre chaque jour.</t>
  </si>
  <si>
    <t>Ensayan la obra todos los días.</t>
  </si>
  <si>
    <t>activer</t>
  </si>
  <si>
    <t>Nous activons les nouvelles fonctionnalités de l'application.</t>
  </si>
  <si>
    <t>Activamos las nuevas funcionalidades de la aplicación.</t>
  </si>
  <si>
    <t>citer</t>
  </si>
  <si>
    <t>Elle cite des exemples pour illustrer son point.</t>
  </si>
  <si>
    <t>Cita ejemplos para ilustrar su punto.</t>
  </si>
  <si>
    <t>juger</t>
  </si>
  <si>
    <t>Ils jugent la compétition avec impartialité.</t>
  </si>
  <si>
    <t>Juzgan la competencia de manera imparcial.</t>
  </si>
  <si>
    <t>jeter</t>
  </si>
  <si>
    <t>Nous jetons les déchets à la poubelle.</t>
  </si>
  <si>
    <t>Tiramos los residuos a la basura.</t>
  </si>
  <si>
    <t>plancher</t>
  </si>
  <si>
    <t>Elle planche sur un projet artistique.</t>
  </si>
  <si>
    <t>Ella está trabajando en un proyecto artístico.</t>
  </si>
  <si>
    <t>consolider</t>
  </si>
  <si>
    <t>Ils consolident leur position sur le marché.</t>
  </si>
  <si>
    <t>Consolidan su posición en el mercado.</t>
  </si>
  <si>
    <t>imaginer</t>
  </si>
  <si>
    <t>Nous imaginons des solutions créatives.</t>
  </si>
  <si>
    <t>Imaginamos soluciones creativas.</t>
  </si>
  <si>
    <t>descendre</t>
  </si>
  <si>
    <t>Elle descend les escaliers lentement.</t>
  </si>
  <si>
    <t>Ella baja las escaleras lentamente.</t>
  </si>
  <si>
    <t>débattre</t>
  </si>
  <si>
    <t>Ils débattent des avantages et des inconvénients.</t>
  </si>
  <si>
    <t>Debaten los pros y los contras.</t>
  </si>
  <si>
    <t>insérer</t>
  </si>
  <si>
    <t>Nous insérons la clé dans la serrure.</t>
  </si>
  <si>
    <t>Insertamos la llave en la cerradura.</t>
  </si>
  <si>
    <t>admettre</t>
  </si>
  <si>
    <t>Elle admet ses erreurs avec sincérité.</t>
  </si>
  <si>
    <t>Ella admite sus errores con sinceridad.</t>
  </si>
  <si>
    <t>réserver</t>
  </si>
  <si>
    <t>Ils réservent une table pour deux.</t>
  </si>
  <si>
    <t>Reservan una mesa para dos.</t>
  </si>
  <si>
    <t>compenser</t>
  </si>
  <si>
    <t>Nous compensons les heures supplémentaires.</t>
  </si>
  <si>
    <t>Compensamos las horas extras.</t>
  </si>
  <si>
    <t>survivre</t>
  </si>
  <si>
    <t>Elle survit à une situation dangereuse.</t>
  </si>
  <si>
    <t>Ella sobrevive a una situación peligrosa.</t>
  </si>
  <si>
    <t>voyager</t>
  </si>
  <si>
    <t>Ils voyagent à travers le monde.</t>
  </si>
  <si>
    <t>Viajan por todo el mundo.</t>
  </si>
  <si>
    <t>concentrer</t>
  </si>
  <si>
    <t>Nous concentrons nos efforts sur l'essentiel.</t>
  </si>
  <si>
    <t>Centramos nuestros esfuerzos en lo esencial.</t>
  </si>
  <si>
    <t>charger</t>
  </si>
  <si>
    <t>Elle charge les colis dans la voiture.</t>
  </si>
  <si>
    <t>Ella carga los paquetes en el auto.</t>
  </si>
  <si>
    <t>harmoniser</t>
  </si>
  <si>
    <t>Ils harmonisent les voix dans le chœur.</t>
  </si>
  <si>
    <t>Armonizan las voces en el coro.</t>
  </si>
  <si>
    <t>réussir</t>
  </si>
  <si>
    <t>Nous réussissons à atteindre nos objectifs.</t>
  </si>
  <si>
    <t>Estamos logrando nuestros objetivos.</t>
  </si>
  <si>
    <t>coopérer</t>
  </si>
  <si>
    <t>Elle coopère avec ses collègues pour le projet.</t>
  </si>
  <si>
    <t>Ella coopera con sus colegas en el proyecto.</t>
  </si>
  <si>
    <t>estimer</t>
  </si>
  <si>
    <t>Ils estiment les coûts du projet.</t>
  </si>
  <si>
    <t>Estiman los costos del proyecto.</t>
  </si>
  <si>
    <t>planifier</t>
  </si>
  <si>
    <t>Nous planifions les étapes de la mise en œuvre.</t>
  </si>
  <si>
    <t>Planificamos los pasos de implementación.</t>
  </si>
  <si>
    <t>désigner</t>
  </si>
  <si>
    <t>Elle désigne un responsable pour chaque tâche.</t>
  </si>
  <si>
    <t>Designa una persona responsable de cada tarea.</t>
  </si>
  <si>
    <t>attribuer</t>
  </si>
  <si>
    <t>Ils attribuent des rôles spécifiques à chaque membre.</t>
  </si>
  <si>
    <t>Asignan roles específicos a cada miembro.</t>
  </si>
  <si>
    <t>entretenir</t>
  </si>
  <si>
    <t>Nous entretenons des relations amicales.</t>
  </si>
  <si>
    <t>Mantenemos relaciones amistosas.</t>
  </si>
  <si>
    <t>affronter</t>
  </si>
  <si>
    <t>Elle affronte les défis avec courage.</t>
  </si>
  <si>
    <t>Ella enfrenta los desafíos con valentía.</t>
  </si>
  <si>
    <t>alimenter</t>
  </si>
  <si>
    <t>Ils alimentent les machines avec du carburant.</t>
  </si>
  <si>
    <t>Alimentan las máquinas con combustible.</t>
  </si>
  <si>
    <t>simplifier</t>
  </si>
  <si>
    <t>Nous simplifions les procédures administratives.</t>
  </si>
  <si>
    <t>Simplificamos los trámites administrativos.</t>
  </si>
  <si>
    <t>causer</t>
  </si>
  <si>
    <t>Elle cause des problèmes involontairement.</t>
  </si>
  <si>
    <t>Ella causa problemas sin querer.</t>
  </si>
  <si>
    <t>réunir</t>
  </si>
  <si>
    <t>Ils réunissent les membres de l'équipe.</t>
  </si>
  <si>
    <t>Reúnen a los miembros del equipo.</t>
  </si>
  <si>
    <t>attaquer</t>
  </si>
  <si>
    <t>Nous attaquons le problème de front.</t>
  </si>
  <si>
    <t>Estamos abordando el problema de frente.</t>
  </si>
  <si>
    <t>renvoyer</t>
  </si>
  <si>
    <t>Elle renvoie les étudiants chez eux.</t>
  </si>
  <si>
    <t>Ella envía a los estudiantes a casa.</t>
  </si>
  <si>
    <t>associer</t>
  </si>
  <si>
    <t>Ils associent les idées pour trouver une solution.</t>
  </si>
  <si>
    <t>Combinan ideas para encontrar una solución.</t>
  </si>
  <si>
    <t>assister</t>
  </si>
  <si>
    <t>Nous assistons à la conférence annuelle.</t>
  </si>
  <si>
    <t>Asistimos a la conferencia anual.</t>
  </si>
  <si>
    <t>recommander</t>
  </si>
  <si>
    <t>Elle recommande un bon restaurant.</t>
  </si>
  <si>
    <t>Ella recomienda un buen restaurante.</t>
  </si>
  <si>
    <t>paraître</t>
  </si>
  <si>
    <t>Ils paraissent heureux malgré les difficultés.</t>
  </si>
  <si>
    <t>Parecen felices a pesar de las dificultades.</t>
  </si>
  <si>
    <t>affirmer</t>
  </si>
  <si>
    <t>Nous affirmons notre engagement envers la cause.</t>
  </si>
  <si>
    <t>Afirmamos nuestro compromiso con la causa.</t>
  </si>
  <si>
    <t>délivrer</t>
  </si>
  <si>
    <t>Elle délivre les documents officiels.</t>
  </si>
  <si>
    <t>Emite documentos oficiales.</t>
  </si>
  <si>
    <t>exposer</t>
  </si>
  <si>
    <t>Ils exposent leurs œuvres dans une galerie.</t>
  </si>
  <si>
    <t>Exponen sus obras en una galería.</t>
  </si>
  <si>
    <t>pratiquer</t>
  </si>
  <si>
    <t>Nous pratiquons des activités sportives.</t>
  </si>
  <si>
    <t>Practicamos actividades deportivas.</t>
  </si>
  <si>
    <t>courir</t>
  </si>
  <si>
    <t>Elle court tous les matins.</t>
  </si>
  <si>
    <t>Ella corre todas las mañanas.</t>
  </si>
  <si>
    <t>célébrer</t>
  </si>
  <si>
    <t>Ils célèbrent leur anniversaire de mariage.</t>
  </si>
  <si>
    <t>Están celebrando su aniversario de bodas.</t>
  </si>
  <si>
    <t>nommer</t>
  </si>
  <si>
    <t>Nous nommons un nouveau directeur.</t>
  </si>
  <si>
    <t>Nombramos un nuevo director.</t>
  </si>
  <si>
    <t>relier</t>
  </si>
  <si>
    <t>Elle relie les points pour former une image.</t>
  </si>
  <si>
    <t>Ella conecta los puntos para formar una imagen.</t>
  </si>
  <si>
    <t>pousser</t>
  </si>
  <si>
    <t>Ils poussent la porte avec force.</t>
  </si>
  <si>
    <t>Empujan la puerta con fuerza.</t>
  </si>
  <si>
    <t>exclure</t>
  </si>
  <si>
    <t>Nous excluons les participants non inscrits.</t>
  </si>
  <si>
    <t>Excluimos a los participantes no registrados.</t>
  </si>
  <si>
    <t>rejeter</t>
  </si>
  <si>
    <t>Elle rejette l'offre de collaboration.</t>
  </si>
  <si>
    <t>Ella rechaza la oferta de colaboración.</t>
  </si>
  <si>
    <t>sourire</t>
  </si>
  <si>
    <t>Ils sourient à chaque rencontre.</t>
  </si>
  <si>
    <t>Sonríen en cada reunión.</t>
  </si>
  <si>
    <t>employer</t>
  </si>
  <si>
    <t>Nous employons des méthodes efficaces.</t>
  </si>
  <si>
    <t>Utilizamos métodos eficaces.</t>
  </si>
  <si>
    <t>réviser</t>
  </si>
  <si>
    <t>Elle révise ses notes avant l'examen.</t>
  </si>
  <si>
    <t>Ella revisa sus notas antes del examen.</t>
  </si>
  <si>
    <t>clarifier</t>
  </si>
  <si>
    <t>Ils clarifient les instructions pour éviter toute confusion.</t>
  </si>
  <si>
    <t>Aclaran las instrucciones para evitar confusiones.</t>
  </si>
  <si>
    <t>mélanger</t>
  </si>
  <si>
    <t>Nous mélangeons les ingrédients pour le gâteau.</t>
  </si>
  <si>
    <t>Mezclamos los ingredientes para el bizcocho.</t>
  </si>
  <si>
    <t>frapper</t>
  </si>
  <si>
    <t>Elle frappe à la porte avant d'entrer.</t>
  </si>
  <si>
    <t>Toca la puerta antes de entrar.</t>
  </si>
  <si>
    <t>connecter</t>
  </si>
  <si>
    <t>Ils connectent les appareils au réseau.</t>
  </si>
  <si>
    <t>Conectan dispositivos a la red.</t>
  </si>
  <si>
    <t>orienter</t>
  </si>
  <si>
    <t>Nous orientons les visiteurs vers l'exposition.</t>
  </si>
  <si>
    <t>Dirigimos a los visitantes a la exposición.</t>
  </si>
  <si>
    <t>susciter</t>
  </si>
  <si>
    <t>Cette idée suscite beaucoup d'intérêt parmi les chercheurs.</t>
  </si>
  <si>
    <t>Esta idea está generando mucho interés entre los investigadores.</t>
  </si>
  <si>
    <t>refléter</t>
  </si>
  <si>
    <t>Le miroir reflète son image à la perfection.</t>
  </si>
  <si>
    <t>El espejo refleja perfectamente su imagen.</t>
  </si>
  <si>
    <t>rembourser</t>
  </si>
  <si>
    <t>Nous remboursons le prêt en plusieurs mensualités.</t>
  </si>
  <si>
    <t>Pagamos el préstamo en varios pagos mensuales.</t>
  </si>
  <si>
    <t>rassembler</t>
  </si>
  <si>
    <t>Ils rassemblent toutes les informations nécessaires.</t>
  </si>
  <si>
    <t>Reúnen toda la información necesaria.</t>
  </si>
  <si>
    <t>reposer</t>
  </si>
  <si>
    <t>Elle se repose après une longue journée de travail.</t>
  </si>
  <si>
    <t>Ella está descansando después de un largo día de trabajo.</t>
  </si>
  <si>
    <t>posséder</t>
  </si>
  <si>
    <t>Ils possèdent une maison à la campagne.</t>
  </si>
  <si>
    <t>Son dueños de una casa en el campo.</t>
  </si>
  <si>
    <t>bâtir</t>
  </si>
  <si>
    <t>Nous bâtissons un avenir meilleur ensemble.</t>
  </si>
  <si>
    <t>Estamos construyendo juntos un futuro mejor.</t>
  </si>
  <si>
    <t>démarrer</t>
  </si>
  <si>
    <t>Elle démarre la voiture chaque matin.</t>
  </si>
  <si>
    <t>Ella arranca el auto todas las mañanas.</t>
  </si>
  <si>
    <t>soulever</t>
  </si>
  <si>
    <t>Ils soulèvent des poids pour rester en forme.</t>
  </si>
  <si>
    <t>Levantan pesas para mantenerse en forma.</t>
  </si>
  <si>
    <t>opérer</t>
  </si>
  <si>
    <t>Nous opérons des changements importants dans l'entreprise.</t>
  </si>
  <si>
    <t>Estamos realizando cambios significativos en el negocio.</t>
  </si>
  <si>
    <t>marquer</t>
  </si>
  <si>
    <t>Elle marque l'événement d'une pierre blanche.</t>
  </si>
  <si>
    <t>Marca el evento con una piedra blanca.</t>
  </si>
  <si>
    <t>combiner</t>
  </si>
  <si>
    <t>Ils combinent leurs forces pour réussir.</t>
  </si>
  <si>
    <t>Combinan sus fortalezas para tener éxito.</t>
  </si>
  <si>
    <t>chauffer</t>
  </si>
  <si>
    <t>Nous chauffons la soupe pour le dîner.</t>
  </si>
  <si>
    <t>Calentamos la sopa para la cena.</t>
  </si>
  <si>
    <t>incorporer</t>
  </si>
  <si>
    <t>Elle incorpore des éléments modernes dans le design.</t>
  </si>
  <si>
    <t>Incorpora elementos modernos en el diseño.</t>
  </si>
  <si>
    <t>bloquer</t>
  </si>
  <si>
    <t>Ils bloquent l'accès au site pour des raisons de sécurité.</t>
  </si>
  <si>
    <t>Bloquean el acceso al sitio por razones de seguridad.</t>
  </si>
  <si>
    <t>danser</t>
  </si>
  <si>
    <t>Nous dansons toute la nuit lors de la fête.</t>
  </si>
  <si>
    <t>Bailamos toda la noche en la fiesta.</t>
  </si>
  <si>
    <t>réguler</t>
  </si>
  <si>
    <t>Elle régule la température de la pièce.</t>
  </si>
  <si>
    <t>Regula la temperatura de la habitación.</t>
  </si>
  <si>
    <t>baisser</t>
  </si>
  <si>
    <t>Ils baissent les prix pour attirer plus de clients.</t>
  </si>
  <si>
    <t>Bajan los precios para atraer más clientes.</t>
  </si>
  <si>
    <t>enseigner</t>
  </si>
  <si>
    <t>Nous enseignons le français aux étrangers.</t>
  </si>
  <si>
    <t>Enseñamos francés a extranjeros.</t>
  </si>
  <si>
    <t>raconter</t>
  </si>
  <si>
    <t>Elle raconte des histoires fascinantes.</t>
  </si>
  <si>
    <t>Ella cuenta historias fascinantes.</t>
  </si>
  <si>
    <t>impliquer</t>
  </si>
  <si>
    <t>Ils impliquent les employés dans la prise de décision.</t>
  </si>
  <si>
    <t>Involucran a los empleados en la toma de decisiones.</t>
  </si>
  <si>
    <t>maîtriser</t>
  </si>
  <si>
    <t>Nous maîtrisons les techniques avancées.</t>
  </si>
  <si>
    <t>Dominamos técnicas avanzadas.</t>
  </si>
  <si>
    <t>varier</t>
  </si>
  <si>
    <t>Elle varie ses exercices pour éviter la monotonie.</t>
  </si>
  <si>
    <t>Varía sus ejercicios para evitar la monotonía.</t>
  </si>
  <si>
    <t>interpréter</t>
  </si>
  <si>
    <t>Ils interprètent les données avec précision.</t>
  </si>
  <si>
    <t>Interpretan los datos con precisión.</t>
  </si>
  <si>
    <t>rédiger</t>
  </si>
  <si>
    <t>Nous rédigeons un rapport détaillé.</t>
  </si>
  <si>
    <t>Redactamos un informe detallado.</t>
  </si>
  <si>
    <t>intensifier</t>
  </si>
  <si>
    <t>Elle intensifie ses efforts pour réussir.</t>
  </si>
  <si>
    <t>Ella está intensificando sus esfuerzos para tener éxito.</t>
  </si>
  <si>
    <t>localiser</t>
  </si>
  <si>
    <t>Ils localisent rapidement la fuite.</t>
  </si>
  <si>
    <t>Localizan rápidamente la fuga.</t>
  </si>
  <si>
    <t>livrer</t>
  </si>
  <si>
    <t>Nous livrons les produits dans les délais.</t>
  </si>
  <si>
    <t>Entregamos los productos a tiempo.</t>
  </si>
  <si>
    <t>élever</t>
  </si>
  <si>
    <t>Elle élève ses enfants avec amour.</t>
  </si>
  <si>
    <t>Ella cría a sus hijos con amor.</t>
  </si>
  <si>
    <t>amuser</t>
  </si>
  <si>
    <t>Ils amusent les enfants avec des jeux.</t>
  </si>
  <si>
    <t>Entretienen a los niños con juegos.</t>
  </si>
  <si>
    <t>dégager</t>
  </si>
  <si>
    <t>Nous dégageons un espace pour la nouvelle table.</t>
  </si>
  <si>
    <t>Despejamos un espacio para la nueva mesa.</t>
  </si>
  <si>
    <t>rire</t>
  </si>
  <si>
    <t>Elle rit aux éclats en entendant la blague.</t>
  </si>
  <si>
    <t>Ella se rió a carcajadas cuando escuchó el chiste.</t>
  </si>
  <si>
    <t>parcourir</t>
  </si>
  <si>
    <t>Ils parcourent le monde en quête d'aventure.</t>
  </si>
  <si>
    <t>Viajan por el mundo en busca de aventuras.</t>
  </si>
  <si>
    <t>fonder</t>
  </si>
  <si>
    <t>Nous fondons une nouvelle entreprise.</t>
  </si>
  <si>
    <t>Estamos iniciando una nueva empresa.</t>
  </si>
  <si>
    <t>ignorer</t>
  </si>
  <si>
    <t>Elle ignore les commentaires négatifs.</t>
  </si>
  <si>
    <t>Ella ignora los comentarios negativos.</t>
  </si>
  <si>
    <t>attacher</t>
  </si>
  <si>
    <t>Ils attachent une grande importance à la qualité.</t>
  </si>
  <si>
    <t>Dan gran importancia a la calidad.</t>
  </si>
  <si>
    <t>oeuvrer</t>
  </si>
  <si>
    <t>Nous oeuvrons pour la paix mondiale.</t>
  </si>
  <si>
    <t>Trabajamos por la paz mundial.</t>
  </si>
  <si>
    <t>épouser</t>
  </si>
  <si>
    <t>Elle épouse son amoureux de longue date.</t>
  </si>
  <si>
    <t>Se casa con su amante de toda la vida.</t>
  </si>
  <si>
    <t>configurer</t>
  </si>
  <si>
    <t>Ils configurent le nouveau système informatique.</t>
  </si>
  <si>
    <t>Configuran el nuevo sistema informático.</t>
  </si>
  <si>
    <t>louer</t>
  </si>
  <si>
    <t>Nous louons une maison pour les vacances.</t>
  </si>
  <si>
    <t>Estamos alquilando una casa para las vacaciones.</t>
  </si>
  <si>
    <t>nourrir</t>
  </si>
  <si>
    <t>Elle nourrit son chat tous les matins.</t>
  </si>
  <si>
    <t>Ella alimenta a su gato todas las mañanas.</t>
  </si>
  <si>
    <t>prolonger</t>
  </si>
  <si>
    <t>Ils prolongent la durée de la garantie.</t>
  </si>
  <si>
    <t>Extienden la duración de la garantía.</t>
  </si>
  <si>
    <t>prêter</t>
  </si>
  <si>
    <t>Nous prêtons des livres à nos amis.</t>
  </si>
  <si>
    <t>Prestamos libros a nuestros amigos.</t>
  </si>
  <si>
    <t>chanter</t>
  </si>
  <si>
    <t>Elle chante dans la chorale de l'église.</t>
  </si>
  <si>
    <t>Ella canta en el coro de la iglesia.</t>
  </si>
  <si>
    <t>économiser</t>
  </si>
  <si>
    <t>Ils économisent pour acheter une nouvelle voiture.</t>
  </si>
  <si>
    <t>Están ahorrando para comprar un auto nuevo.</t>
  </si>
  <si>
    <t>achever</t>
  </si>
  <si>
    <t>Nous achevons le projet avant la date limite.</t>
  </si>
  <si>
    <t>Completamos el proyecto antes de la fecha límite.</t>
  </si>
  <si>
    <t>renouveler</t>
  </si>
  <si>
    <t>Elle renouvelle son abonnement chaque année.</t>
  </si>
  <si>
    <t>Ella renueva su suscripción cada año.</t>
  </si>
  <si>
    <t>influencer</t>
  </si>
  <si>
    <t>Ils influencent les décisions politiques.</t>
  </si>
  <si>
    <t>Influyen en las decisiones políticas.</t>
  </si>
  <si>
    <t>bouger</t>
  </si>
  <si>
    <t>Nous bougeons les meubles pour réorganiser la pièce.</t>
  </si>
  <si>
    <t>Movemos los muebles para reorganizar la habitación.</t>
  </si>
  <si>
    <t>suspendre</t>
  </si>
  <si>
    <t>Elle suspend son manteau au porte-manteau.</t>
  </si>
  <si>
    <t>Cuelga su abrigo en el perchero.</t>
  </si>
  <si>
    <t>déployer</t>
  </si>
  <si>
    <t>Ils déploient des efforts considérables.</t>
  </si>
  <si>
    <t>Están haciendo un esfuerzo considerable.</t>
  </si>
  <si>
    <t>manquer</t>
  </si>
  <si>
    <t>Nous manquons rarement une réunion.</t>
  </si>
  <si>
    <t>Rara vez faltamos a una reunión.</t>
  </si>
  <si>
    <t>collecter</t>
  </si>
  <si>
    <t>Elle collecte des fonds pour une bonne cause.</t>
  </si>
  <si>
    <t>Ella está recaudando dinero para una buena causa.</t>
  </si>
  <si>
    <t>restaurer</t>
  </si>
  <si>
    <t>Ils restaurent des œuvres d'art anciennes.</t>
  </si>
  <si>
    <t>Restauran obras de arte antiguas.</t>
  </si>
  <si>
    <t>demeurer</t>
  </si>
  <si>
    <t>Nous demeurons optimistes malgré les défis.</t>
  </si>
  <si>
    <t>Seguimos siendo optimistas a pesar de los desafíos.</t>
  </si>
  <si>
    <t>distinguer</t>
  </si>
  <si>
    <t>Elle distingue les différents parfums.</t>
  </si>
  <si>
    <t>Ella distingue los diferentes perfumes.</t>
  </si>
  <si>
    <t>approfondir</t>
  </si>
  <si>
    <t>Ils approfondissent leurs connaissances en biologie.</t>
  </si>
  <si>
    <t>Profundizan sus conocimientos de biología.</t>
  </si>
  <si>
    <t>réglementer</t>
  </si>
  <si>
    <t>Nous réglementons l'usage de l'eau pour la conservation.</t>
  </si>
  <si>
    <t>Regulamos el uso del agua para su conservación.</t>
  </si>
  <si>
    <t>compromettre</t>
  </si>
  <si>
    <t>Elle compromet sa santé en travaillant trop.</t>
  </si>
  <si>
    <t>Ella compromete su salud al trabajar demasiado.</t>
  </si>
  <si>
    <t>confier</t>
  </si>
  <si>
    <t>Ils confient leurs secrets à leurs amis proches.</t>
  </si>
  <si>
    <t>Confían sus secretos a sus amigos más cercanos.</t>
  </si>
  <si>
    <t>souffrir</t>
  </si>
  <si>
    <t>Nous souffrons d'une pénurie de main-d'œuvre.</t>
  </si>
  <si>
    <t>Sufrimos una escasez de mano de obra.</t>
  </si>
  <si>
    <t>minimiser</t>
  </si>
  <si>
    <t>Elle minimise les risques en prenant des précautions.</t>
  </si>
  <si>
    <t>Minimiza los riesgos tomando precauciones.</t>
  </si>
  <si>
    <t>attraper</t>
  </si>
  <si>
    <t>Ils attrapent un rhume en hiver.</t>
  </si>
  <si>
    <t>Se resfrían en invierno.</t>
  </si>
  <si>
    <t>isoler</t>
  </si>
  <si>
    <t>Nous isolons les fenêtres pour économiser l'énergie.</t>
  </si>
  <si>
    <t>Aislamos ventanas para ahorrar energía.</t>
  </si>
  <si>
    <t>témoigner</t>
  </si>
  <si>
    <t>Elle témoigne au procès en tant que témoin.</t>
  </si>
  <si>
    <t>Ella testifica en el juicio como testigo.</t>
  </si>
  <si>
    <t>dépenser</t>
  </si>
  <si>
    <t>Ils dépensent leur argent judicieusement.</t>
  </si>
  <si>
    <t>Gastan su dinero sabiamente.</t>
  </si>
  <si>
    <t>fuir</t>
  </si>
  <si>
    <t>Nous fuyons les conflits lorsque c'est possible.</t>
  </si>
  <si>
    <t>Evitamos los conflictos cuando es posible.</t>
  </si>
  <si>
    <t>sauvegarder</t>
  </si>
  <si>
    <t>Elle sauvegarde ses fichiers importants.</t>
  </si>
  <si>
    <t>Hace una copia de seguridad de sus archivos importantes.</t>
  </si>
  <si>
    <t>stabiliser</t>
  </si>
  <si>
    <t>Ils stabilisent le marché avec des mesures efficaces.</t>
  </si>
  <si>
    <t>Estabilizan el mercado con medidas efectivas.</t>
  </si>
  <si>
    <t>river</t>
  </si>
  <si>
    <t>Nous rivons nos yeux sur le spectacle.</t>
  </si>
  <si>
    <t>Pegamos nuestros ojos al espectáculo.</t>
  </si>
  <si>
    <t>manipuler</t>
  </si>
  <si>
    <t>Elle manipule les objets avec soin.</t>
  </si>
  <si>
    <t>Maneja los objetos con cuidado.</t>
  </si>
  <si>
    <t>forcer</t>
  </si>
  <si>
    <t>Ils forcent la porte pour entrer.</t>
  </si>
  <si>
    <t>Fuerzan la puerta para entrar.</t>
  </si>
  <si>
    <t>évoluer</t>
  </si>
  <si>
    <t>Nous évoluons constamment dans notre carrière.</t>
  </si>
  <si>
    <t>Estamos en constante evolución en nuestras carreras.</t>
  </si>
  <si>
    <t>emprunter</t>
  </si>
  <si>
    <t>Elle emprunte des livres à la bibliothèque.</t>
  </si>
  <si>
    <t>Ella toma prestados libros de la biblioteca.</t>
  </si>
  <si>
    <t>excuser</t>
  </si>
  <si>
    <t>Ils s'excusent pour le retard.</t>
  </si>
  <si>
    <t>Piden disculpas por el retraso.</t>
  </si>
  <si>
    <t>tenter</t>
  </si>
  <si>
    <t>Nous tentons de nouvelles recettes chaque semaine.</t>
  </si>
  <si>
    <t>Probamos nuevas recetas cada semana.</t>
  </si>
  <si>
    <t>restreindre</t>
  </si>
  <si>
    <t>Elle restreint son usage de sucre.</t>
  </si>
  <si>
    <t>Ella restringe su uso de azúcar.</t>
  </si>
  <si>
    <t>interrompre</t>
  </si>
  <si>
    <t>Ils interrompent la réunion pour une pause.</t>
  </si>
  <si>
    <t>Interrumpen la reunión para tomar un descanso.</t>
  </si>
  <si>
    <t>interroger</t>
  </si>
  <si>
    <t>Nous interrogeons les candidats pour le poste.</t>
  </si>
  <si>
    <t>Entrevistamos candidatos para el puesto.</t>
  </si>
  <si>
    <t>entamer</t>
  </si>
  <si>
    <t>Elle entame une nouvelle aventure.</t>
  </si>
  <si>
    <t>Ella comienza una nueva aventura.</t>
  </si>
  <si>
    <t>reproduire</t>
  </si>
  <si>
    <t>Ils reproduisent les conditions expérimentales.</t>
  </si>
  <si>
    <t>Reproducen las condiciones experimentales.</t>
  </si>
  <si>
    <t>procurer</t>
  </si>
  <si>
    <t>Nous procurons des services de haute qualité.</t>
  </si>
  <si>
    <t>Brindamos servicios de alta calidad.</t>
  </si>
  <si>
    <t>remarquer</t>
  </si>
  <si>
    <t>Elle remarque un détail important.</t>
  </si>
  <si>
    <t>Ella nota un detalle importante.</t>
  </si>
  <si>
    <t>repérer</t>
  </si>
  <si>
    <t>Ils repèrent rapidement les erreurs.</t>
  </si>
  <si>
    <t>Detectan errores rápidamente.</t>
  </si>
  <si>
    <t>asseoir</t>
  </si>
  <si>
    <t>Nous asseyons les invités à la table.</t>
  </si>
  <si>
    <t>Sentamos a los invitados a la mesa.</t>
  </si>
  <si>
    <t>espérer</t>
  </si>
  <si>
    <t>Elle espère un avenir meilleur.</t>
  </si>
  <si>
    <t>Ella espera un futuro mejor.</t>
  </si>
  <si>
    <t>absorber</t>
  </si>
  <si>
    <t>Ils absorbent toutes les informations.</t>
  </si>
  <si>
    <t>Absorben toda la información.</t>
  </si>
  <si>
    <t>solliciter</t>
  </si>
  <si>
    <t>Nous sollicitons de l'aide auprès des experts.</t>
  </si>
  <si>
    <t>Buscamos ayuda de expertos.</t>
  </si>
  <si>
    <t>inspirer</t>
  </si>
  <si>
    <t>Elle inspire ses collègues avec son enthousiasme.</t>
  </si>
  <si>
    <t>Ella inspira a sus colegas con su entusiasmo.</t>
  </si>
  <si>
    <t>conférer</t>
  </si>
  <si>
    <t>Ils confèrent des prix aux lauréats.</t>
  </si>
  <si>
    <t>Entregan premios a los ganadores.</t>
  </si>
  <si>
    <t>saluer</t>
  </si>
  <si>
    <t>Nous saluons notre voisin tous les matins.</t>
  </si>
  <si>
    <t>Saludamos a nuestro vecino todas las mañanas.</t>
  </si>
  <si>
    <t>aligner</t>
  </si>
  <si>
    <t>Elle aligne les chaises pour la réunion.</t>
  </si>
  <si>
    <t>Ella alinea las sillas para la reunión.</t>
  </si>
  <si>
    <t>mentir</t>
  </si>
  <si>
    <t>Ils mentent rarement.</t>
  </si>
  <si>
    <t>Rara vez mienten.</t>
  </si>
  <si>
    <t>recruter</t>
  </si>
  <si>
    <t>Nous recrutons de nouveaux talents.</t>
  </si>
  <si>
    <t>Estamos reclutando nuevos talentos.</t>
  </si>
  <si>
    <t>laver</t>
  </si>
  <si>
    <t>Elle lave ses vêtements chaque week-end.</t>
  </si>
  <si>
    <t>Lava su ropa todos los fines de semana.</t>
  </si>
  <si>
    <t>révéler</t>
  </si>
  <si>
    <t>Ils révèlent les résultats de l'enquête.</t>
  </si>
  <si>
    <t>Revelan los resultados de la investigación.</t>
  </si>
  <si>
    <t>refroidir</t>
  </si>
  <si>
    <t>Nous refroidissons la pièce avec un ventilateur.</t>
  </si>
  <si>
    <t>Enfriamos la habitación con un ventilador.</t>
  </si>
  <si>
    <t>réformer</t>
  </si>
  <si>
    <t>Elle réforme le système éducatif.</t>
  </si>
  <si>
    <t>Ella reforma el sistema educativo.</t>
  </si>
  <si>
    <t>commettre</t>
  </si>
  <si>
    <t>Ils commettent parfois des erreurs.</t>
  </si>
  <si>
    <t>A veces cometen errores.</t>
  </si>
  <si>
    <t>figurer</t>
  </si>
  <si>
    <t>Nous figurons parmi les meilleurs élèves de la classe.</t>
  </si>
  <si>
    <t>Estamos entre los mejores estudiantes de la clase.</t>
  </si>
  <si>
    <t>visualiser</t>
  </si>
  <si>
    <t>Elle visualise son futur avec optimisme.</t>
  </si>
  <si>
    <t>Ella ve su futuro con optimismo.</t>
  </si>
  <si>
    <t>moderniser</t>
  </si>
  <si>
    <t>Nous modernisons notre système informatique.</t>
  </si>
  <si>
    <t>Estamos modernizando nuestro sistema informático.</t>
  </si>
  <si>
    <t>cesser</t>
  </si>
  <si>
    <t>Ils cessent de travailler à midi.</t>
  </si>
  <si>
    <t>Dejan de trabajar al mediodía.</t>
  </si>
  <si>
    <t>éloigner</t>
  </si>
  <si>
    <t>Nous éloignons les enfants du danger.</t>
  </si>
  <si>
    <t>Mantenemos a los niños alejados del peligro.</t>
  </si>
  <si>
    <t>retarder</t>
  </si>
  <si>
    <t>Elle retarde la réunion d'une heure.</t>
  </si>
  <si>
    <t>Retrasa la reunión una hora.</t>
  </si>
  <si>
    <t>prétendre</t>
  </si>
  <si>
    <t>Ils prétendent être experts dans le domaine.</t>
  </si>
  <si>
    <t>Dicen ser expertos en la materia.</t>
  </si>
  <si>
    <t>déclencher</t>
  </si>
  <si>
    <t>Nous déclenchons l'alarme en cas d'urgence.</t>
  </si>
  <si>
    <t>Activamos la alarma en caso de emergencia.</t>
  </si>
  <si>
    <t>pleurer</t>
  </si>
  <si>
    <t>Elle pleure en regardant un film triste.</t>
  </si>
  <si>
    <t>Llora mientras ve una película triste.</t>
  </si>
  <si>
    <t>évacuer</t>
  </si>
  <si>
    <t>Ils évacuent les lieux en toute sécurité.</t>
  </si>
  <si>
    <t>Evacúan el lugar de forma segura.</t>
  </si>
  <si>
    <t>manager</t>
  </si>
  <si>
    <t>Nous manageons une équipe de dix personnes.</t>
  </si>
  <si>
    <t>Gestionamos un equipo de diez personas.</t>
  </si>
  <si>
    <t>durer</t>
  </si>
  <si>
    <t>Le film dure deux heures.</t>
  </si>
  <si>
    <t>La película dura dos horas.</t>
  </si>
  <si>
    <t>soigner</t>
  </si>
  <si>
    <t>Elle soigne les patients avec dévouement.</t>
  </si>
  <si>
    <t>Trata a los pacientes con dedicación.</t>
  </si>
  <si>
    <t>éclairer</t>
  </si>
  <si>
    <t>Ils éclairent la scène avec des projecteurs.</t>
  </si>
  <si>
    <t>Iluminan el escenario con focos.</t>
  </si>
  <si>
    <t>dénoncer</t>
  </si>
  <si>
    <t>Nous dénonçons les actes de corruption.</t>
  </si>
  <si>
    <t>Denunciamos actos de corrupción.</t>
  </si>
  <si>
    <t>recourir</t>
  </si>
  <si>
    <t>Elle recourt à des experts pour obtenir des conseils.</t>
  </si>
  <si>
    <t>Ella recurre a expertos para que le aconsejen.</t>
  </si>
  <si>
    <t>effacer</t>
  </si>
  <si>
    <t>Ils effacent les données obsolètes.</t>
  </si>
  <si>
    <t>Borran datos obsoletos.</t>
  </si>
  <si>
    <t>honorer</t>
  </si>
  <si>
    <t>Nous honorons les anciens combattants.</t>
  </si>
  <si>
    <t>Honramos a los veteranos.</t>
  </si>
  <si>
    <t>doter</t>
  </si>
  <si>
    <t>Elle dote l'école de nouveaux équipements.</t>
  </si>
  <si>
    <t>Proporciona a la escuela nuevo equipamiento.</t>
  </si>
  <si>
    <t>convenir</t>
  </si>
  <si>
    <t>Ils conviennent d'une date pour la réunion.</t>
  </si>
  <si>
    <t>Acuerdan una fecha para la reunión.</t>
  </si>
  <si>
    <t>lier</t>
  </si>
  <si>
    <t>Nous lions les documents avec des agrafes.</t>
  </si>
  <si>
    <t>Encuadernamos los documentos con grapas.</t>
  </si>
  <si>
    <t>circuler</t>
  </si>
  <si>
    <t>Elle circule librement dans le bâtiment.</t>
  </si>
  <si>
    <t>Circula libremente en el edificio.</t>
  </si>
  <si>
    <t>rationaliser</t>
  </si>
  <si>
    <t>Ils rationalisent les processus de production.</t>
  </si>
  <si>
    <t>Agilizan los procesos productivos.</t>
  </si>
  <si>
    <t>acheminer</t>
  </si>
  <si>
    <t>Nous acheminons les marchandises par train.</t>
  </si>
  <si>
    <t>Transportamos mercancías en tren.</t>
  </si>
  <si>
    <t>diviser</t>
  </si>
  <si>
    <t>Elle divise le travail en tâches gérables.</t>
  </si>
  <si>
    <t>Divide el trabajo en tareas manejables.</t>
  </si>
  <si>
    <t>remonter</t>
  </si>
  <si>
    <t>Ils remontent la montre chaque matin.</t>
  </si>
  <si>
    <t>Le dan cuerda al reloj todas las mañanas.</t>
  </si>
  <si>
    <t>échapper</t>
  </si>
  <si>
    <t>Nous échappons à la routine quotidienne.</t>
  </si>
  <si>
    <t>Escapamos de la rutina diaria.</t>
  </si>
  <si>
    <t>classer</t>
  </si>
  <si>
    <t>Elle classe les dossiers par ordre alphabétique.</t>
  </si>
  <si>
    <t>Ordena los archivos en orden alfabético.</t>
  </si>
  <si>
    <t>emporter</t>
  </si>
  <si>
    <t>Ils emportent des souvenirs de chaque voyage.</t>
  </si>
  <si>
    <t>Se llevan souvenirs de cada viaje.</t>
  </si>
  <si>
    <t>glisser</t>
  </si>
  <si>
    <t>Nous glissons sur la glace en hiver.</t>
  </si>
  <si>
    <t>Nos deslizamos sobre hielo en invierno.</t>
  </si>
  <si>
    <t>briser</t>
  </si>
  <si>
    <t>Elle brise le silence avec une blague.</t>
  </si>
  <si>
    <t>Ella rompe el silencio con una broma.</t>
  </si>
  <si>
    <t>guérir</t>
  </si>
  <si>
    <t>Ils guérissent rapidement après l'opération.</t>
  </si>
  <si>
    <t>Se curan rápidamente después de la operación.</t>
  </si>
  <si>
    <t>adhérer</t>
  </si>
  <si>
    <t>Nous adhérons aux règles de l'organisation.</t>
  </si>
  <si>
    <t>Nos adherimos a las normas de la organización.</t>
  </si>
  <si>
    <t>craindre</t>
  </si>
  <si>
    <t>Elle craint les hauteurs.</t>
  </si>
  <si>
    <t>Ella teme a las alturas.</t>
  </si>
  <si>
    <t>composer</t>
  </si>
  <si>
    <t>Ils composent une nouvelle chanson.</t>
  </si>
  <si>
    <t>Componen una nueva canción.</t>
  </si>
  <si>
    <t>importer</t>
  </si>
  <si>
    <t>Nous importons des produits de qualité.</t>
  </si>
  <si>
    <t>Importamos productos de calidad.</t>
  </si>
  <si>
    <t>vaincre</t>
  </si>
  <si>
    <t>Elle vainc ses peurs avec détermination.</t>
  </si>
  <si>
    <t>Ella vence sus miedos con determinación.</t>
  </si>
  <si>
    <t>entraver</t>
  </si>
  <si>
    <t>Ils entravent le progrès avec des réglementations strictes.</t>
  </si>
  <si>
    <t>Obstaculizan el progreso con regulaciones estrictas.</t>
  </si>
  <si>
    <t>maximiser</t>
  </si>
  <si>
    <t>Nous maximisons nos profits cette année.</t>
  </si>
  <si>
    <t>Estamos maximizando nuestras ganancias este año.</t>
  </si>
  <si>
    <t>refaire</t>
  </si>
  <si>
    <t>Elle refait la décoration de sa maison.</t>
  </si>
  <si>
    <t>Ella está redecorando su casa.</t>
  </si>
  <si>
    <t>réexaminer</t>
  </si>
  <si>
    <t>Ils réexaminent les preuves avant de prendre une décision.</t>
  </si>
  <si>
    <t>Revisan la evidencia antes de tomar una decisión.</t>
  </si>
  <si>
    <t>exporter</t>
  </si>
  <si>
    <t>Nous exportons nos produits à l'international.</t>
  </si>
  <si>
    <t>Exportamos nuestros productos a nivel internacional.</t>
  </si>
  <si>
    <t>franchir</t>
  </si>
  <si>
    <t>Elle franchit les obstacles avec persévérance.</t>
  </si>
  <si>
    <t>Supera los obstáculos con perseverancia.</t>
  </si>
  <si>
    <t>évoquer</t>
  </si>
  <si>
    <t>Ils évoquent des souvenirs d'enfance.</t>
  </si>
  <si>
    <t>Evocan recuerdos de la infancia.</t>
  </si>
  <si>
    <t>ratifier</t>
  </si>
  <si>
    <t>Nous ratifions le traité avec enthousiasme.</t>
  </si>
  <si>
    <t>Ratificamos el tratado con entusiasmo.</t>
  </si>
  <si>
    <t>prier</t>
  </si>
  <si>
    <t>Elle prie pour la paix.</t>
  </si>
  <si>
    <t>Ella reza por la paz.</t>
  </si>
  <si>
    <t>respirer</t>
  </si>
  <si>
    <t>Ils respirent profondément pour se détendre.</t>
  </si>
  <si>
    <t>Respiran profundamente para relajarse.</t>
  </si>
  <si>
    <t>croître</t>
  </si>
  <si>
    <t>Nous croissons rapidement dans le marché.</t>
  </si>
  <si>
    <t>Estamos creciendo rápidamente en el mercado.</t>
  </si>
  <si>
    <t>punir</t>
  </si>
  <si>
    <t>Elle punit les élèves qui trichent.</t>
  </si>
  <si>
    <t>Castiga a los estudiantes que hacen trampa.</t>
  </si>
  <si>
    <t>ordonner</t>
  </si>
  <si>
    <t>Ils ordonnent de nouvelles fournitures.</t>
  </si>
  <si>
    <t>Piden nuevos suministros.</t>
  </si>
  <si>
    <t>agrandir</t>
  </si>
  <si>
    <t>Nous agrandissons notre espace de bureau.</t>
  </si>
  <si>
    <t>Estamos ampliando nuestro espacio de oficinas.</t>
  </si>
  <si>
    <t>réaffirmer</t>
  </si>
  <si>
    <t>Elle réaffirme son engagement envers la cause.</t>
  </si>
  <si>
    <t>Reafirma su compromiso con la causa.</t>
  </si>
  <si>
    <t>obliger</t>
  </si>
  <si>
    <t>Ils obligent les participants à suivre les règles.</t>
  </si>
  <si>
    <t>Obligan a los participantes a seguir las reglas.</t>
  </si>
  <si>
    <t>spécifier</t>
  </si>
  <si>
    <t>Nous spécifions les critères de sélection.</t>
  </si>
  <si>
    <t>Especificamos los criterios de selección.</t>
  </si>
  <si>
    <t>valider</t>
  </si>
  <si>
    <t>Elle valide les résultats de l'expérience.</t>
  </si>
  <si>
    <t>Valida los resultados del experimento.</t>
  </si>
  <si>
    <t>détendre</t>
  </si>
  <si>
    <t>Ils détendent l'atmosphère avec de la musique douce.</t>
  </si>
  <si>
    <t>Relajan el ambiente con música suave.</t>
  </si>
  <si>
    <t>pourvoir</t>
  </si>
  <si>
    <t>Nous pourvoyons aux besoins de la communauté.</t>
  </si>
  <si>
    <t>Atendemos las necesidades de la comunidad.</t>
  </si>
  <si>
    <t>recenser</t>
  </si>
  <si>
    <t>Elle recense les ressources disponibles.</t>
  </si>
  <si>
    <t>Enumera los recursos disponibles.</t>
  </si>
  <si>
    <t>concilier</t>
  </si>
  <si>
    <t>Ils concilient travail et vie de famille.</t>
  </si>
  <si>
    <t>Concilian la vida laboral y familiar.</t>
  </si>
  <si>
    <t>rapprocher</t>
  </si>
  <si>
    <t>Nous rapprochons les gens grâce à la technologie.</t>
  </si>
  <si>
    <t>Unimos a las personas a través de la tecnología.</t>
  </si>
  <si>
    <t>positionner</t>
  </si>
  <si>
    <t>Elle positionne les meubles dans le salon.</t>
  </si>
  <si>
    <t>Coloca los muebles en la sala de estar.</t>
  </si>
  <si>
    <t>cerner</t>
  </si>
  <si>
    <t>Ils cernent les défis à relever.</t>
  </si>
  <si>
    <t>Identifican los desafíos a enfrentar.</t>
  </si>
  <si>
    <t>admirer</t>
  </si>
  <si>
    <t>Nous admirons la beauté de la nature.</t>
  </si>
  <si>
    <t>Admiramos la belleza de la naturaleza.</t>
  </si>
  <si>
    <t>rompre</t>
  </si>
  <si>
    <t>Elle rompt avec les traditions.</t>
  </si>
  <si>
    <t>Ella rompe con las tradiciones.</t>
  </si>
  <si>
    <t>cibler</t>
  </si>
  <si>
    <t>Ils ciblent un nouveau marché.</t>
  </si>
  <si>
    <t>Están apuntando a un nuevo mercado.</t>
  </si>
  <si>
    <t>invoquer</t>
  </si>
  <si>
    <t>Nous invoquons des arguments convaincants.</t>
  </si>
  <si>
    <t>Presentamos argumentos convincentes.</t>
  </si>
  <si>
    <t>capturer</t>
  </si>
  <si>
    <t>Elle capture des moments inoubliables avec son appareil photo.</t>
  </si>
  <si>
    <t>Captura momentos inolvidables con su cámara.</t>
  </si>
  <si>
    <t>embrasser</t>
  </si>
  <si>
    <t>Ils embrassent leurs enfants avant de partir.</t>
  </si>
  <si>
    <t>Besan a sus hijos antes de irse.</t>
  </si>
  <si>
    <t>marier</t>
  </si>
  <si>
    <t>Nous marions deux cultures dans ce plat.</t>
  </si>
  <si>
    <t>Casamos dos culturas en este plato.</t>
  </si>
  <si>
    <t>ranger</t>
  </si>
  <si>
    <t>Elle range sa chambre tous les jours.</t>
  </si>
  <si>
    <t>Ella limpia su habitación todos los días.</t>
  </si>
  <si>
    <t>concrétiser</t>
  </si>
  <si>
    <t>Ils concrétisent leurs rêves avec persévérance.</t>
  </si>
  <si>
    <t>Hacen realidad sus sueños con perseverancia.</t>
  </si>
  <si>
    <t>lutter</t>
  </si>
  <si>
    <t>Nous luttons pour la justice.</t>
  </si>
  <si>
    <t>Luchamos por la justicia.</t>
  </si>
  <si>
    <t>naviguer</t>
  </si>
  <si>
    <t>Elle navigue sur Internet chaque soir.</t>
  </si>
  <si>
    <t>Navega por Internet todas las noches.</t>
  </si>
  <si>
    <t>blesser</t>
  </si>
  <si>
    <t>Ils blessent leurs adversaires avec des mots durs.</t>
  </si>
  <si>
    <t>Hieren a sus oponentes con duras palabras.</t>
  </si>
  <si>
    <t>résister</t>
  </si>
  <si>
    <t>Nous résistons aux tentations sucrées.</t>
  </si>
  <si>
    <t>Resistimos las dulces tentaciones.</t>
  </si>
  <si>
    <t>enrichir</t>
  </si>
  <si>
    <t>Elle enrichit ses connaissances en lisant.</t>
  </si>
  <si>
    <t>Enriquece sus conocimientos leyendo.</t>
  </si>
  <si>
    <t>induire</t>
  </si>
  <si>
    <t>Ils induisent un changement positif.</t>
  </si>
  <si>
    <t>Provocan cambios positivos.</t>
  </si>
  <si>
    <t>abaisser</t>
  </si>
  <si>
    <t>Nous abaissons les coûts de production.</t>
  </si>
  <si>
    <t>Bajamos los costes de producción.</t>
  </si>
  <si>
    <t>rouler</t>
  </si>
  <si>
    <t>Elle roule prudemment sur la route glissante.</t>
  </si>
  <si>
    <t>Conduce con cuidado por el camino resbaladizo.</t>
  </si>
  <si>
    <t>soulager</t>
  </si>
  <si>
    <t>Ils soulagent la douleur avec un remède naturel.</t>
  </si>
  <si>
    <t>Alivian el dolor con un remedio natural.</t>
  </si>
  <si>
    <t>rapporter</t>
  </si>
  <si>
    <t>Nous rapportons les résultats de l'enquête.</t>
  </si>
  <si>
    <t>Informamos los resultados de la investigación.</t>
  </si>
  <si>
    <t>superviser</t>
  </si>
  <si>
    <t>Elle supervise les travaux de rénovation.</t>
  </si>
  <si>
    <t>Ella supervisa los trabajos de renovación.</t>
  </si>
  <si>
    <t>ressentir</t>
  </si>
  <si>
    <t>Ils ressentent une grande satisfaction après avoir terminé.</t>
  </si>
  <si>
    <t>Sienten una gran satisfacción al terminar.</t>
  </si>
  <si>
    <t>correspondre</t>
  </si>
  <si>
    <t>Nous correspondons régulièrement avec nos amis.</t>
  </si>
  <si>
    <t>Mantenemos correspondencia regularmente con nuestros amigos.</t>
  </si>
  <si>
    <t>souhaiter</t>
  </si>
  <si>
    <t>Elle souhaite un joyeux anniversaire à son frère.</t>
  </si>
  <si>
    <t>Le desea un feliz cumpleaños a su hermano.</t>
  </si>
  <si>
    <t>loger</t>
  </si>
  <si>
    <t>Ils logent dans un hôtel confortable.</t>
  </si>
  <si>
    <t>Se alojan en un hotel confortable.</t>
  </si>
  <si>
    <t>déceler</t>
  </si>
  <si>
    <t>Nous décelons des signes de fatigue.</t>
  </si>
  <si>
    <t>Detectamos signos de fatiga.</t>
  </si>
  <si>
    <t>réclamer</t>
  </si>
  <si>
    <t>Elle réclame des explications claires.</t>
  </si>
  <si>
    <t>Exige explicaciones claras.</t>
  </si>
  <si>
    <t>valoir</t>
  </si>
  <si>
    <t>Ils valent leur poids en or.</t>
  </si>
  <si>
    <t>Valen su peso en oro.</t>
  </si>
  <si>
    <t>regrouper</t>
  </si>
  <si>
    <t>Nous regroupons les données pour une analyse approfondie.</t>
  </si>
  <si>
    <t>Agregamos los datos para un análisis en profundidad.</t>
  </si>
  <si>
    <t>chasser</t>
  </si>
  <si>
    <t>Elle chasse les pensées négatives.</t>
  </si>
  <si>
    <t>Ahuyenta los pensamientos negativos.</t>
  </si>
  <si>
    <t>intéresser</t>
  </si>
  <si>
    <t>Ils s'intéressent à l'art moderne.</t>
  </si>
  <si>
    <t>Están interesados ​​en el arte moderno.</t>
  </si>
  <si>
    <t>crier</t>
  </si>
  <si>
    <t>Nous crions de joie en apprenant la nouvelle.</t>
  </si>
  <si>
    <t>Gritamos de alegría cuando escuchamos la noticia.</t>
  </si>
  <si>
    <t>allouer</t>
  </si>
  <si>
    <t>Elle alloue des fonds pour le projet.</t>
  </si>
  <si>
    <t>Ella asigna fondos para el proyecto.</t>
  </si>
  <si>
    <t>ralentir</t>
  </si>
  <si>
    <t>Ils ralentissent le rythme de travail pour éviter le stress.</t>
  </si>
  <si>
    <t>Ralentizan el ritmo de trabajo para evitar el estrés.</t>
  </si>
  <si>
    <t>relancer</t>
  </si>
  <si>
    <t>Nous relançons la campagne publicitaire.</t>
  </si>
  <si>
    <t>Estamos relanzando la campaña publicitaria.</t>
  </si>
  <si>
    <t>grandir</t>
  </si>
  <si>
    <t>Elle grandit entourée d'amour et de soins.</t>
  </si>
  <si>
    <t>Creció rodeada de amor y cuidado.</t>
  </si>
  <si>
    <t>sécher</t>
  </si>
  <si>
    <t>Ils sèchent leurs vêtements au soleil.</t>
  </si>
  <si>
    <t>Secan su ropa al sol.</t>
  </si>
  <si>
    <t>déduire</t>
  </si>
  <si>
    <t>Nous déduisons les frais de nos impôts.</t>
  </si>
  <si>
    <t>Deducimos los costes de nuestros impuestos.</t>
  </si>
  <si>
    <t>prédire</t>
  </si>
  <si>
    <t>Elle prédit un avenir radieux pour l'entreprise.</t>
  </si>
  <si>
    <t>Ella predice un futuro brillante para la empresa.</t>
  </si>
  <si>
    <t>contenter</t>
  </si>
  <si>
    <t>Ils contentent les clients avec un excellent service.</t>
  </si>
  <si>
    <t>Mantienen contentos a los clientes con un excelente servicio.</t>
  </si>
  <si>
    <t>contrer</t>
  </si>
  <si>
    <t>Il contre chaque argument avec fermeté.</t>
  </si>
  <si>
    <t>Él contrarresta cada argumento con firmeza.</t>
  </si>
  <si>
    <t>consommer</t>
  </si>
  <si>
    <t>Elle consomme des produits biologiques.</t>
  </si>
  <si>
    <t>Consume productos orgánicos.</t>
  </si>
  <si>
    <t>cultiver</t>
  </si>
  <si>
    <t>Ils cultivent des légumes dans leur jardin.</t>
  </si>
  <si>
    <t>Cultivan hortalizas en su jardín.</t>
  </si>
  <si>
    <t>dispenser</t>
  </si>
  <si>
    <t>Nous dispensons des conseils juridiques.</t>
  </si>
  <si>
    <t>Brindamos asesoría legal.</t>
  </si>
  <si>
    <t>privilégier</t>
  </si>
  <si>
    <t>Ils privilégient la qualité à la quantité.</t>
  </si>
  <si>
    <t>Prefieren la calidad a la cantidad.</t>
  </si>
  <si>
    <t>percevoir</t>
  </si>
  <si>
    <t>Elle perçoit une augmentation de salaire.</t>
  </si>
  <si>
    <t>Ella recibe un aumento de salario.</t>
  </si>
  <si>
    <t>écarter</t>
  </si>
  <si>
    <t>Ils écartent les distractions pendant les réunions.</t>
  </si>
  <si>
    <t>Eliminan las distracciones durante las reuniones.</t>
  </si>
  <si>
    <t>commenter</t>
  </si>
  <si>
    <t>Nous commentons l'actualité politique.</t>
  </si>
  <si>
    <t>Comentamos noticias políticas.</t>
  </si>
  <si>
    <t>illustrer</t>
  </si>
  <si>
    <t>Elle illustre ses propos avec des exemples concrets.</t>
  </si>
  <si>
    <t>Ilustra sus puntos con ejemplos concretos.</t>
  </si>
  <si>
    <t>avertir</t>
  </si>
  <si>
    <t>Ils avertissent les citoyens des dangers à venir.</t>
  </si>
  <si>
    <t>Advierten a los ciudadanos de peligros inminentes.</t>
  </si>
  <si>
    <t>cuire</t>
  </si>
  <si>
    <t>Nous cuisons le pain frais chaque matin.</t>
  </si>
  <si>
    <t>Horneamos pan fresco todas las mañanas.</t>
  </si>
  <si>
    <t>assembler</t>
  </si>
  <si>
    <t>Elle assemble les pièces du puzzle.</t>
  </si>
  <si>
    <t>Ella junta las piezas del rompecabezas.</t>
  </si>
  <si>
    <t>arranger</t>
  </si>
  <si>
    <t>Ils arrangent les meubles dans le salon.</t>
  </si>
  <si>
    <t>Están arreglando los muebles del salón.</t>
  </si>
  <si>
    <t>suggérer</t>
  </si>
  <si>
    <t>Nous suggérons une nouvelle approche.</t>
  </si>
  <si>
    <t>Sugerimos un nuevo enfoque.</t>
  </si>
  <si>
    <t>copier</t>
  </si>
  <si>
    <t>Elle copie les notes de cours avec soin.</t>
  </si>
  <si>
    <t>Copia cuidadosamente los apuntes de clase.</t>
  </si>
  <si>
    <t>octroyer</t>
  </si>
  <si>
    <t>Ils octroient des bourses d'études aux étudiants méritants.</t>
  </si>
  <si>
    <t>Proporcionan becas a estudiantes que lo merecen.</t>
  </si>
  <si>
    <t>inquiéter</t>
  </si>
  <si>
    <t>Nous inquiétons nos parents avec nos choix de vie.</t>
  </si>
  <si>
    <t>Preocupamos a nuestros padres con nuestras elecciones de vida.</t>
  </si>
  <si>
    <t>contester</t>
  </si>
  <si>
    <t>Elle conteste la décision du tribunal.</t>
  </si>
  <si>
    <t>Ella impugna la decisión del tribunal.</t>
  </si>
  <si>
    <t>manifester</t>
  </si>
  <si>
    <t>Ils manifestent pacifiquement pour leurs droits.</t>
  </si>
  <si>
    <t>Se están manifestando pacíficamente por sus derechos.</t>
  </si>
  <si>
    <t>doubler</t>
  </si>
  <si>
    <t>Nous doublons nos efforts pour terminer à temps.</t>
  </si>
  <si>
    <t>Estamos redoblando nuestros esfuerzos para terminar a tiempo.</t>
  </si>
  <si>
    <t>coller</t>
  </si>
  <si>
    <t>Elle colle les affiches sur le mur.</t>
  </si>
  <si>
    <t>Ella pega los carteles en la pared.</t>
  </si>
  <si>
    <t>réveiller</t>
  </si>
  <si>
    <t>Ils réveillent le chien avec leurs rires.</t>
  </si>
  <si>
    <t>Despiertan al perro con su risa.</t>
  </si>
  <si>
    <t>nier</t>
  </si>
  <si>
    <t>Nous nions les allégations de fraude.</t>
  </si>
  <si>
    <t>Negamos las acusaciones de fraude.</t>
  </si>
  <si>
    <t>remporter</t>
  </si>
  <si>
    <t>Elle remporte la médaille d'or au concours.</t>
  </si>
  <si>
    <t>Ganó la medalla de oro en la competencia.</t>
  </si>
  <si>
    <t>multiplier</t>
  </si>
  <si>
    <t>Ils multiplient les initiatives pour soutenir la communauté.</t>
  </si>
  <si>
    <t>Están aumentando las iniciativas para apoyar a la comunidad.</t>
  </si>
  <si>
    <t>renverser</t>
  </si>
  <si>
    <t>Nous renversons la tendance avec une nouvelle stratégie.</t>
  </si>
  <si>
    <t>Estamos revirtiendo la tendencia con una nueva estrategia.</t>
  </si>
  <si>
    <t>approcher</t>
  </si>
  <si>
    <t>Elle approche timidement de la scène.</t>
  </si>
  <si>
    <t>Se acerca tímidamente al escenario.</t>
  </si>
  <si>
    <t>veiller</t>
  </si>
  <si>
    <t>Ils veillent sur les enfants pendant la nuit.</t>
  </si>
  <si>
    <t>Vigilan a los niños durante la noche.</t>
  </si>
  <si>
    <t>viser</t>
  </si>
  <si>
    <t>Nous visons l'excellence dans tout ce que nous faisons.</t>
  </si>
  <si>
    <t>Nos esforzamos por alcanzar la excelencia en todo lo que hacemos.</t>
  </si>
  <si>
    <t>rattraper</t>
  </si>
  <si>
    <t>Elle rattrape son retard avec détermination.</t>
  </si>
  <si>
    <t>Ella recupera el tiempo perdido con determinación.</t>
  </si>
  <si>
    <t>contourner</t>
  </si>
  <si>
    <t>Ils contournent les embouteillages en prenant des routes secondaires.</t>
  </si>
  <si>
    <t>Evitan los atascos tomando carreteras secundarias.</t>
  </si>
  <si>
    <t>actualiser</t>
  </si>
  <si>
    <t>Nous actualisons régulièrement notre site web.</t>
  </si>
  <si>
    <t>Actualizamos periódicamente nuestro sitio web.</t>
  </si>
  <si>
    <t>étayer</t>
  </si>
  <si>
    <t>Elle étaye son argumentation avec des faits précis.</t>
  </si>
  <si>
    <t>Ella apoya su argumento con hechos específicos.</t>
  </si>
  <si>
    <t>filtrer</t>
  </si>
  <si>
    <t>Ils filtrent l'eau pour la rendre potable.</t>
  </si>
  <si>
    <t>Filtran el agua para hacerla potable.</t>
  </si>
  <si>
    <t>détenir</t>
  </si>
  <si>
    <t>Nous détenons les clés du succès.</t>
  </si>
  <si>
    <t>Tenemos las claves del éxito.</t>
  </si>
  <si>
    <t>exploser</t>
  </si>
  <si>
    <t>Elle explose de joie à l'annonce des résultats.</t>
  </si>
  <si>
    <t>Explota de alegría cuando se anuncian los resultados.</t>
  </si>
  <si>
    <t>tromper</t>
  </si>
  <si>
    <t>Ils trompent leurs adversaires avec une feinte habile.</t>
  </si>
  <si>
    <t>Engañan a sus oponentes con una hábil finta.</t>
  </si>
  <si>
    <t>aboutir</t>
  </si>
  <si>
    <t>Nous aboutissons à un compromis après de longues discussions.</t>
  </si>
  <si>
    <t>Llegamos a un compromiso después de largas discusiones.</t>
  </si>
  <si>
    <t>personnaliser</t>
  </si>
  <si>
    <t>Elle personnalise son bureau avec des photos de famille.</t>
  </si>
  <si>
    <t>Personaliza su oficina con fotografías familiares.</t>
  </si>
  <si>
    <t>actionner</t>
  </si>
  <si>
    <t>Ils actionnent l'alarme en cas d'incendie.</t>
  </si>
  <si>
    <t>Activan la alarma en caso de incendio.</t>
  </si>
  <si>
    <t>éteindre</t>
  </si>
  <si>
    <t>Nous éteignons les lumières avant de quitter la pièce.</t>
  </si>
  <si>
    <t>Apagamos las luces antes de salir de la habitación.</t>
  </si>
  <si>
    <t>menacer</t>
  </si>
  <si>
    <t>Elle menace de quitter le pays.</t>
  </si>
  <si>
    <t>Ella amenaza con abandonar el país.</t>
  </si>
  <si>
    <t>virer</t>
  </si>
  <si>
    <t>Ils virent à droite au prochain carrefour.</t>
  </si>
  <si>
    <t>Giran a la derecha en el siguiente cruce.</t>
  </si>
  <si>
    <t>désactiver</t>
  </si>
  <si>
    <t>Nous désactivons les notifications pour rester concentrés.</t>
  </si>
  <si>
    <t>Desactivamos las notificaciones para mantenernos concentrados.</t>
  </si>
  <si>
    <t>équilibrer</t>
  </si>
  <si>
    <t>Elle équilibre son emploi du temps entre travail et loisirs.</t>
  </si>
  <si>
    <t>Equilibra su agenda entre trabajo y ocio.</t>
  </si>
  <si>
    <t>élire</t>
  </si>
  <si>
    <t>Ils élisent leur président chaque année.</t>
  </si>
  <si>
    <t>Eligen a su presidente cada año.</t>
  </si>
  <si>
    <t>pêcher</t>
  </si>
  <si>
    <t>Nous pêchons dans un lac paisible.</t>
  </si>
  <si>
    <t>Pescamos en un lago tranquilo.</t>
  </si>
  <si>
    <t>divulguer</t>
  </si>
  <si>
    <t>Elle divulgue des informations confidentielles.</t>
  </si>
  <si>
    <t>Ella revela información confidencial.</t>
  </si>
  <si>
    <t>aggraver</t>
  </si>
  <si>
    <t>Ils aggravent la situation avec leurs commentaires.</t>
  </si>
  <si>
    <t>Empeoran la situación con sus comentarios.</t>
  </si>
  <si>
    <t>interagir</t>
  </si>
  <si>
    <t>Nous interagissons avec nos collègues tous les jours.</t>
  </si>
  <si>
    <t>Interactuamos con nuestros colegas todos los días.</t>
  </si>
  <si>
    <t>calmer</t>
  </si>
  <si>
    <t>Elle calme ses nerfs avant l'examen.</t>
  </si>
  <si>
    <t>Calma sus nervios antes del examen.</t>
  </si>
  <si>
    <t>freiner</t>
  </si>
  <si>
    <t>Ils freinent brusquement pour éviter l'accident.</t>
  </si>
  <si>
    <t>Frenan bruscamente para evitar el accidente.</t>
  </si>
  <si>
    <t>déranger</t>
  </si>
  <si>
    <t>Nous dérangeons nos voisins avec notre musique forte.</t>
  </si>
  <si>
    <t>Molestamos a nuestros vecinos con nuestra música alta.</t>
  </si>
  <si>
    <t>abolir</t>
  </si>
  <si>
    <t>Elle abolit les règles obsolètes.</t>
  </si>
  <si>
    <t>Suprime normas obsoletas.</t>
  </si>
  <si>
    <t>traîner</t>
  </si>
  <si>
    <t>Ils traînent leurs pieds pour retarder le départ.</t>
  </si>
  <si>
    <t>Arrastran los pies para retrasar la salida.</t>
  </si>
  <si>
    <t>prélever</t>
  </si>
  <si>
    <t>Nous prélevons des échantillons pour l'analyse.</t>
  </si>
  <si>
    <t>Tomamos muestras para análisis.</t>
  </si>
  <si>
    <t>nuire</t>
  </si>
  <si>
    <t>Elle nuit à sa réputation avec ce comportement.</t>
  </si>
  <si>
    <t>Ella está dañando su reputación con este comportamiento.</t>
  </si>
  <si>
    <t>céder</t>
  </si>
  <si>
    <t>Ils cèdent à leurs exigences pour maintenir la paix.</t>
  </si>
  <si>
    <t>Ceden a sus demandas de mantener la paz.</t>
  </si>
  <si>
    <t>épargner</t>
  </si>
  <si>
    <t>Nous épargnons de l'argent pour les vacances.</t>
  </si>
  <si>
    <t>Ahorramos dinero para las vacaciones.</t>
  </si>
  <si>
    <t>dessiner</t>
  </si>
  <si>
    <t>Elle dessine un paysage magnifique.</t>
  </si>
  <si>
    <t>Ella dibuja un paisaje magnífico.</t>
  </si>
  <si>
    <t>cuisiner</t>
  </si>
  <si>
    <t>Ils cuisinent ensemble un repas spécial.</t>
  </si>
  <si>
    <t>Cocinan juntos una comida especial.</t>
  </si>
  <si>
    <t>opposer</t>
  </si>
  <si>
    <t>Nous opposons nos opinions sur ce sujet.</t>
  </si>
  <si>
    <t>Nos oponemos a nuestras opiniones sobre este tema.</t>
  </si>
  <si>
    <t>diagnostiquer</t>
  </si>
  <si>
    <t>Elle diagnostique rapidement le problème.</t>
  </si>
  <si>
    <t>Ella rápidamente diagnostica el problema.</t>
  </si>
  <si>
    <t>peindre</t>
  </si>
  <si>
    <t>Ils peignent les murs de la maison en blanc.</t>
  </si>
  <si>
    <t>Pintan las paredes de la casa de blanco.</t>
  </si>
  <si>
    <t>pardonner</t>
  </si>
  <si>
    <t>Nous pardonnons à nos amis pour leurs erreurs.</t>
  </si>
  <si>
    <t>Perdonamos a nuestros amigos por sus errores.</t>
  </si>
  <si>
    <t>dresser</t>
  </si>
  <si>
    <t>Elle dresse la table pour le dîner.</t>
  </si>
  <si>
    <t>Ella pone la mesa para la cena.</t>
  </si>
  <si>
    <t>quantifier</t>
  </si>
  <si>
    <t>Ils quantifient l'impact environnemental du projet.</t>
  </si>
  <si>
    <t>Cuantifican el impacto ambiental del proyecto.</t>
  </si>
  <si>
    <t>recouvrer</t>
  </si>
  <si>
    <t>Nous recouvrons notre investissement en un an.</t>
  </si>
  <si>
    <t>Recuperamos nuestra inversión en un año.</t>
  </si>
  <si>
    <t>survenir</t>
  </si>
  <si>
    <t>Elle survient une tempête soudaine.</t>
  </si>
  <si>
    <t>Llega una tormenta repentina.</t>
  </si>
  <si>
    <t>nager</t>
  </si>
  <si>
    <t>Ils nagent dans la piscine tous les jours.</t>
  </si>
  <si>
    <t>Nadan en la piscina todos los días.</t>
  </si>
  <si>
    <t>qualifier</t>
  </si>
  <si>
    <t>Nous qualifions les candidats pour le poste.</t>
  </si>
  <si>
    <t>Calificamos candidatos para el puesto.</t>
  </si>
  <si>
    <t>écraser</t>
  </si>
  <si>
    <t>Elle écrase les biscuits pour faire une croûte.</t>
  </si>
  <si>
    <t>Tritura las galletas para formar una costra.</t>
  </si>
  <si>
    <t>sacrifier</t>
  </si>
  <si>
    <t>Ils sacrifient beaucoup pour réussir.</t>
  </si>
  <si>
    <t>Sacrifican mucho para tener éxito.</t>
  </si>
  <si>
    <t>résumer</t>
  </si>
  <si>
    <t>Nous résumons les conclusions de la réunion.</t>
  </si>
  <si>
    <t>Resumimos las conclusiones de la reunión.</t>
  </si>
  <si>
    <t>lâcher</t>
  </si>
  <si>
    <t>Elle lâche prise et laisse aller ses soucis.</t>
  </si>
  <si>
    <t>Ella se suelta y deja de lado sus preocupaciones.</t>
  </si>
  <si>
    <t>renoncer</t>
  </si>
  <si>
    <t>Ils renoncent à leurs rêves pour le bien de leur famille.</t>
  </si>
  <si>
    <t>Renuncian a sus sueños por el bien de su familia.</t>
  </si>
  <si>
    <t>deviner</t>
  </si>
  <si>
    <t>Nous devinons la réponse sans hésitation.</t>
  </si>
  <si>
    <t>Adivinamos la respuesta sin dudarlo.</t>
  </si>
  <si>
    <t>abattre</t>
  </si>
  <si>
    <t>Elle abat l'arbre pour agrandir le jardin.</t>
  </si>
  <si>
    <t>Corta el árbol para agrandar el jardín.</t>
  </si>
  <si>
    <t>déménager</t>
  </si>
  <si>
    <t>Ils déménagent dans une nouvelle ville.</t>
  </si>
  <si>
    <t>Se están mudando a una nueva ciudad.</t>
  </si>
  <si>
    <t>accrocher</t>
  </si>
  <si>
    <t>Nous accrochons les rideaux dans le salon.</t>
  </si>
  <si>
    <t>Colgamos las cortinas en el salón.</t>
  </si>
  <si>
    <t>serrer</t>
  </si>
  <si>
    <t>Elle serre son ami dans ses bras.</t>
  </si>
  <si>
    <t>Ella abraza a su amiga.</t>
  </si>
  <si>
    <t>habiller</t>
  </si>
  <si>
    <t>Ils habillent les enfants pour l'école.</t>
  </si>
  <si>
    <t>Visten a los niños para la escuela.</t>
  </si>
  <si>
    <t>trancher</t>
  </si>
  <si>
    <t>Nous tranchons le pain en tranches fines.</t>
  </si>
  <si>
    <t>Cortamos el pan en rodajas finas.</t>
  </si>
  <si>
    <t>priver</t>
  </si>
  <si>
    <t>Elle prive son téléphone portable pendant une semaine.</t>
  </si>
  <si>
    <t>Priva su teléfono celular durante una semana.</t>
  </si>
  <si>
    <t>aviser</t>
  </si>
  <si>
    <t>Ils avisent les clients des changements à venir.</t>
  </si>
  <si>
    <t>Notifican a los clientes sobre los próximos cambios.</t>
  </si>
  <si>
    <t>déguster</t>
  </si>
  <si>
    <t>Nous dégustons un délicieux repas français.</t>
  </si>
  <si>
    <t>Disfrutamos de una deliciosa comida francesa.</t>
  </si>
  <si>
    <t>sécuriser</t>
  </si>
  <si>
    <t>Elle sécurise ses données avec un mot de passe fort.</t>
  </si>
  <si>
    <t>Protege sus datos con una contraseña segura.</t>
  </si>
  <si>
    <t>embaucher</t>
  </si>
  <si>
    <t>Ils embauchent de nouveaux employés chaque mois.</t>
  </si>
  <si>
    <t>Contratan nuevos empleados cada mes.</t>
  </si>
  <si>
    <t>tracer</t>
  </si>
  <si>
    <t>Nous traçons une nouvelle stratégie marketing.</t>
  </si>
  <si>
    <t>Estamos desarrollando una nueva estrategia de marketing.</t>
  </si>
  <si>
    <t>diversifier</t>
  </si>
  <si>
    <t>Elle diversifie ses investissements pour réduire les risques.</t>
  </si>
  <si>
    <t>Diversifica sus inversiones para reducir riesgos.</t>
  </si>
  <si>
    <t>décourager</t>
  </si>
  <si>
    <t>Ils découragent toute tentative de tricherie.</t>
  </si>
  <si>
    <t>Desalientan cualquier intento de hacer trampa.</t>
  </si>
  <si>
    <t>détourner</t>
  </si>
  <si>
    <t>Nous détournons notre attention vers un nouveau projet.</t>
  </si>
  <si>
    <t>Desviamos nuestra atención hacia un nuevo proyecto.</t>
  </si>
  <si>
    <t>inventer</t>
  </si>
  <si>
    <t>Elle invente une histoire fantastique.</t>
  </si>
  <si>
    <t>Ella inventa una historia fantástica.</t>
  </si>
  <si>
    <t>éradiquer</t>
  </si>
  <si>
    <t>Ils éradiquent les mauvaises herbes du jardin.</t>
  </si>
  <si>
    <t>Erradican las malas hierbas del jardín.</t>
  </si>
  <si>
    <t>rêver</t>
  </si>
  <si>
    <t>Nous rêvons de voyager autour du monde.</t>
  </si>
  <si>
    <t>Soñamos con viajar alrededor del mundo.</t>
  </si>
  <si>
    <t>perfectionner</t>
  </si>
  <si>
    <t>Elle perfectionne ses compétences en informatique.</t>
  </si>
  <si>
    <t>Ella está perfeccionando sus habilidades informáticas.</t>
  </si>
  <si>
    <t>anticiper</t>
  </si>
  <si>
    <t>Ils anticipent les besoins futurs de leurs clients.</t>
  </si>
  <si>
    <t>Se anticipan a las necesidades futuras de sus clientes.</t>
  </si>
  <si>
    <t>risquer</t>
  </si>
  <si>
    <t>Nous risquons de perdre beaucoup d'argent.</t>
  </si>
  <si>
    <t>Corremos el riesgo de perder mucho dinero.</t>
  </si>
  <si>
    <t>valoriser</t>
  </si>
  <si>
    <t>Elle valorise son équipe en reconnaissant leurs efforts.</t>
  </si>
  <si>
    <t>Valora a su equipo reconociendo sus esfuerzos.</t>
  </si>
  <si>
    <t>accuser</t>
  </si>
  <si>
    <t>Ils accusent le coup après l'échec du projet.</t>
  </si>
  <si>
    <t>Culpan del golpe tras el fracaso del proyecto.</t>
  </si>
  <si>
    <t>amorcer</t>
  </si>
  <si>
    <t>Ils amorcent le projet avec enthousiasme.</t>
  </si>
  <si>
    <t>Comienzan el proyecto con entusiasmo.</t>
  </si>
  <si>
    <t>fêter</t>
  </si>
  <si>
    <t>Nous fêtons notre anniversaire chaque année.</t>
  </si>
  <si>
    <t>Celebramos nuestro aniversario cada año.</t>
  </si>
  <si>
    <t>stopper</t>
  </si>
  <si>
    <t>Elle stoppe la voiture brusquement.</t>
  </si>
  <si>
    <t>Detiene el coche de repente.</t>
  </si>
  <si>
    <t>affaiblir</t>
  </si>
  <si>
    <t>Ils affaiblissent l'ennemi avec des attaques constantes.</t>
  </si>
  <si>
    <t>Debilitan al enemigo con ataques constantes.</t>
  </si>
  <si>
    <t>alléger</t>
  </si>
  <si>
    <t>Nous allégeons nos bagages pour le voyage.</t>
  </si>
  <si>
    <t>Aligeramos nuestro equipaje para el viaje.</t>
  </si>
  <si>
    <t>engendrer</t>
  </si>
  <si>
    <t>Il engendre des discussions animées lors des réunions.</t>
  </si>
  <si>
    <t>Genera animados debates durante las reuniones.</t>
  </si>
  <si>
    <t>goûter</t>
  </si>
  <si>
    <t>Elle goûte le plat exotique pour la première fois.</t>
  </si>
  <si>
    <t>Ella prueba este plato exótico por primera vez.</t>
  </si>
  <si>
    <t>inverser</t>
  </si>
  <si>
    <t>Ils inversent la tendance du marché avec une nouvelle stratégie.</t>
  </si>
  <si>
    <t>Están revirtiendo la tendencia del mercado con una nueva estrategia.</t>
  </si>
  <si>
    <t>rater</t>
  </si>
  <si>
    <t>Nous ratons le train de justesse.</t>
  </si>
  <si>
    <t>Apenas perdemos el tren.</t>
  </si>
  <si>
    <t>avouer</t>
  </si>
  <si>
    <t>Elle avoue ses sentiments à son meilleur ami.</t>
  </si>
  <si>
    <t>Ella le confiesa sus sentimientos a su mejor amiga.</t>
  </si>
  <si>
    <t>unir</t>
  </si>
  <si>
    <t>Ils unissent leurs forces pour le projet commun.</t>
  </si>
  <si>
    <t>Unen fuerzas para el proyecto común.</t>
  </si>
  <si>
    <t>éduquer</t>
  </si>
  <si>
    <t>Nous éduquons les jeunes sur l'importance de l'environnement.</t>
  </si>
  <si>
    <t>Educamos a los jóvenes sobre la importancia del medio ambiente.</t>
  </si>
  <si>
    <t>creuser</t>
  </si>
  <si>
    <t>Il creuse un trou pour planter des arbres.</t>
  </si>
  <si>
    <t>Cava un hoyo para plantar árboles.</t>
  </si>
  <si>
    <t>notifier</t>
  </si>
  <si>
    <t>Elle notifie tous les participants du changement d'horaire.</t>
  </si>
  <si>
    <t>Ella notifica a todos los participantes del cambio de horario.</t>
  </si>
  <si>
    <t>bosser</t>
  </si>
  <si>
    <t>Ils bossent dur pour atteindre leurs objectifs.</t>
  </si>
  <si>
    <t>Trabajan duro para lograr sus objetivos.</t>
  </si>
  <si>
    <t>perturber</t>
  </si>
  <si>
    <t>Nous perturbons la routine quotidienne pour une fête surprise.</t>
  </si>
  <si>
    <t>Alteramos la rutina diaria para una fiesta sorpresa.</t>
  </si>
  <si>
    <t>enquêter</t>
  </si>
  <si>
    <t>Elle enquête sur l'affaire avec sérieux.</t>
  </si>
  <si>
    <t>Ella está investigando el asunto seriamente.</t>
  </si>
  <si>
    <t>convoquer</t>
  </si>
  <si>
    <t>Ils convoquent une réunion d'urgence.</t>
  </si>
  <si>
    <t>Convocan a una reunión de emergencia.</t>
  </si>
  <si>
    <t>plaire</t>
  </si>
  <si>
    <t>Nous essayons de plaire à nos clients avec un service de qualité.</t>
  </si>
  <si>
    <t>Intentamos complacer a nuestros clientes con un servicio de calidad.</t>
  </si>
  <si>
    <t>endommager</t>
  </si>
  <si>
    <t>Il endommage malheureusement le vase précieux.</t>
  </si>
  <si>
    <t>Desafortunadamente, daña el precioso jarrón.</t>
  </si>
  <si>
    <t>coupler</t>
  </si>
  <si>
    <t>Elle couple les données pour une analyse approfondie.</t>
  </si>
  <si>
    <t>Combina los datos para un análisis en profundidad.</t>
  </si>
  <si>
    <t>réprimer</t>
  </si>
  <si>
    <t>Ils répriment les manifestations avec force.</t>
  </si>
  <si>
    <t>Reprimen con fuerza las manifestaciones.</t>
  </si>
  <si>
    <t>vider</t>
  </si>
  <si>
    <t>Nous vidons le contenu des boîtes dans le camion.</t>
  </si>
  <si>
    <t>Vaciamos el contenido de las cajas en el camión.</t>
  </si>
  <si>
    <t>éditer</t>
  </si>
  <si>
    <t>Elle édite son livre avant de le publier.</t>
  </si>
  <si>
    <t>Edita su libro antes de publicarlo.</t>
  </si>
  <si>
    <t>séjourner</t>
  </si>
  <si>
    <t>Ils séjournent dans un hôtel cinq étoiles pendant leurs vacances.</t>
  </si>
  <si>
    <t>Se alojan en un hotel de cinco estrellas durante sus vacaciones.</t>
  </si>
  <si>
    <t>décharger</t>
  </si>
  <si>
    <t>Nous déchargeons les marchandises du camion.</t>
  </si>
  <si>
    <t>Descargamos la mercancía del camión.</t>
  </si>
  <si>
    <t>planter</t>
  </si>
  <si>
    <t>Il plante des roses dans son jardin.</t>
  </si>
  <si>
    <t>Planta rosas en su jardín.</t>
  </si>
  <si>
    <t>couler</t>
  </si>
  <si>
    <t>Elle voit le navire couler lentement.</t>
  </si>
  <si>
    <t>Ve el barco hundirse lentamente.</t>
  </si>
  <si>
    <t>équiper</t>
  </si>
  <si>
    <t>Ils équipent leur bureau avec du matériel dernier cri.</t>
  </si>
  <si>
    <t>Equipan su oficina con los últimos equipos.</t>
  </si>
  <si>
    <t>affiner</t>
  </si>
  <si>
    <t>Nous affinons notre stratégie de marketing.</t>
  </si>
  <si>
    <t>Estamos perfeccionando nuestra estrategia de marketing.</t>
  </si>
  <si>
    <t>dissuader</t>
  </si>
  <si>
    <t>Elle dissuade son frère de faire une bêtise.</t>
  </si>
  <si>
    <t>Ella disuade a su hermano de hacer algo estúpido.</t>
  </si>
  <si>
    <t>connaître</t>
  </si>
  <si>
    <t>Ils connaissent bien le secteur financier.</t>
  </si>
  <si>
    <t>Conocen bien el sector financiero.</t>
  </si>
  <si>
    <t>piloter</t>
  </si>
  <si>
    <t>Il pilote l'avion avec expertise.</t>
  </si>
  <si>
    <t>Vuela el avión con pericia.</t>
  </si>
  <si>
    <t>fouiller</t>
  </si>
  <si>
    <t>Elle fouille dans ses tiroirs à la recherche de ses clés.</t>
  </si>
  <si>
    <t>Busca entre sus cajones sus llaves.</t>
  </si>
  <si>
    <t>arracher</t>
  </si>
  <si>
    <t>Ils arrachent les mauvaises herbes du jardin.</t>
  </si>
  <si>
    <t>Arrancan las malas hierbas del jardín.</t>
  </si>
  <si>
    <t>simuler</t>
  </si>
  <si>
    <t>Nous simulons une réunion pour tester notre réaction.</t>
  </si>
  <si>
    <t>Simulamos una reunión para probar nuestra reacción.</t>
  </si>
  <si>
    <t>surprendre</t>
  </si>
  <si>
    <t>Il surprend son collègue avec un cadeau d'anniversaire.</t>
  </si>
  <si>
    <t>Sorprende a su colega con un regalo de cumpleaños.</t>
  </si>
  <si>
    <t>allumer</t>
  </si>
  <si>
    <t>Elle allume la bougie pour créer une ambiance chaleureuse.</t>
  </si>
  <si>
    <t>Enciende la vela para crear una atmósfera cálida.</t>
  </si>
  <si>
    <t>ramasser</t>
  </si>
  <si>
    <t>Ils ramassent les feuilles mortes dans le jardin.</t>
  </si>
  <si>
    <t>Recogen hojas muertas en el jardín.</t>
  </si>
  <si>
    <t>neutraliser</t>
  </si>
  <si>
    <t>Nous neutralisons la menace avec diplomatie.</t>
  </si>
  <si>
    <t>Neutralizamos la amenaza con la diplomacia.</t>
  </si>
  <si>
    <t>caractériser</t>
  </si>
  <si>
    <t>Il caractérise le personnage principal du roman.</t>
  </si>
  <si>
    <t>Caracteriza al personaje principal de la novela.</t>
  </si>
  <si>
    <t>boucher</t>
  </si>
  <si>
    <t>Elle bouche le trou dans le mur avec du plâtre.</t>
  </si>
  <si>
    <t>Rellena el agujero de la pared con yeso.</t>
  </si>
  <si>
    <t>fondre</t>
  </si>
  <si>
    <t>Ils fondent le chocolat pour faire une fondue.</t>
  </si>
  <si>
    <t>Derriten el chocolate para hacer una fondue.</t>
  </si>
  <si>
    <t>racheter</t>
  </si>
  <si>
    <t>Nous rachetons l'entreprise concurrente.</t>
  </si>
  <si>
    <t>Compramos la empresa competidora.</t>
  </si>
  <si>
    <t>peser</t>
  </si>
  <si>
    <t>Elle pèse les ingrédients avant de cuisiner.</t>
  </si>
  <si>
    <t>Pesa los ingredientes antes de cocinarlos.</t>
  </si>
  <si>
    <t>déboucher</t>
  </si>
  <si>
    <t>Ils débouchent l'évier obstrué.</t>
  </si>
  <si>
    <t>Destapan el fregadero atascado.</t>
  </si>
  <si>
    <t>amplifier</t>
  </si>
  <si>
    <t>Nous amplifions le son pour que tout le monde puisse entendre.</t>
  </si>
  <si>
    <t>Amplificamos el sonido para que todos puedan escuchar.</t>
  </si>
  <si>
    <t>dissoudre</t>
  </si>
  <si>
    <t>Elle dissout le sucre dans l'eau chaude.</t>
  </si>
  <si>
    <t>Disuelve el azúcar en agua caliente.</t>
  </si>
  <si>
    <t>raccorder</t>
  </si>
  <si>
    <t>Ils raccordent les tuyaux pour réparer la fuite.</t>
  </si>
  <si>
    <t>Conectan las tuberías para reparar la fuga.</t>
  </si>
  <si>
    <t>reculer</t>
  </si>
  <si>
    <t>Nous reculons devant l'adversité.</t>
  </si>
  <si>
    <t>Nos alejamos de la adversidad.</t>
  </si>
  <si>
    <t>rassurer</t>
  </si>
  <si>
    <t>Il rassure son ami inquiet.</t>
  </si>
  <si>
    <t>Tranquiliza a su preocupado amigo.</t>
  </si>
  <si>
    <t>grimper</t>
  </si>
  <si>
    <t>Elle grimpe au sommet de la montagne.</t>
  </si>
  <si>
    <t>Ella sube a la cima de la montaña.</t>
  </si>
  <si>
    <t>enterrer</t>
  </si>
  <si>
    <t>Ils enterrent un trésor dans le jardin.</t>
  </si>
  <si>
    <t>Entierran tesoros en el jardín.</t>
  </si>
  <si>
    <t>expulser</t>
  </si>
  <si>
    <t>Nous expulsons les intrus de la propriété.</t>
  </si>
  <si>
    <t>Desalojamos a los intrusos de la propiedad.</t>
  </si>
  <si>
    <t>douter</t>
  </si>
  <si>
    <t>Il doute de la véracité de ses affirmations.</t>
  </si>
  <si>
    <t>Duda de la veracidad de sus afirmaciones.</t>
  </si>
  <si>
    <t>filer</t>
  </si>
  <si>
    <t>Elle file à toute vitesse sur l'autoroute.</t>
  </si>
  <si>
    <t>Ella acelera por la carretera.</t>
  </si>
  <si>
    <t>enrayer</t>
  </si>
  <si>
    <t>Ils enrayent la propagation de la maladie.</t>
  </si>
  <si>
    <t>Detienen la propagación de la enfermedad.</t>
  </si>
  <si>
    <t>regretter</t>
  </si>
  <si>
    <t>Nous regrettons notre décision hâtive.</t>
  </si>
  <si>
    <t>Lamentamos nuestra apresurada decisión.</t>
  </si>
  <si>
    <t>résulter</t>
  </si>
  <si>
    <t>Il résulte de nos efforts combinés.</t>
  </si>
  <si>
    <t>Es el resultado de nuestros esfuerzos combinados.</t>
  </si>
  <si>
    <t>gouverner</t>
  </si>
  <si>
    <t>Elle gouverne le pays avec sagesse.</t>
  </si>
  <si>
    <t>Ella gobierna el país sabiamente.</t>
  </si>
  <si>
    <t>motiver</t>
  </si>
  <si>
    <t>Ils motivent leurs employés avec des récompenses.</t>
  </si>
  <si>
    <t>Motivan a sus empleados con recompensas.</t>
  </si>
  <si>
    <t>sanctionner</t>
  </si>
  <si>
    <t>Nous sanctionnons ceux qui enfreignent les règles.</t>
  </si>
  <si>
    <t>Sancionamos a quienes infringen las reglas.</t>
  </si>
  <si>
    <t>gâcher</t>
  </si>
  <si>
    <t>Il gâche la surprise en révélant le secret.</t>
  </si>
  <si>
    <t>Arruina la sorpresa al revelar el secreto.</t>
  </si>
  <si>
    <t>projeter</t>
  </si>
  <si>
    <t>Elle projette de voyager en Asie l'été prochain.</t>
  </si>
  <si>
    <t>Tiene previsto viajar a Asia el próximo verano.</t>
  </si>
  <si>
    <t>accumuler</t>
  </si>
  <si>
    <t>Ils accumulent des points de fidélité grâce à leurs achats.</t>
  </si>
  <si>
    <t>Acumulan puntos de fidelidad a través de sus compras.</t>
  </si>
  <si>
    <t>percer</t>
  </si>
  <si>
    <t>Nous perçons un trou dans le mur pour installer une étagère.</t>
  </si>
  <si>
    <t>Hacemos un agujero en la pared para instalar una estantería.</t>
  </si>
  <si>
    <t>avaler</t>
  </si>
  <si>
    <t>Elle avale son médicament avec de l'eau.</t>
  </si>
  <si>
    <t>Ella traga su medicamento con agua.</t>
  </si>
  <si>
    <t>verrouiller</t>
  </si>
  <si>
    <t>Ils verrouillent la porte avant de partir.</t>
  </si>
  <si>
    <t>Cierran la puerta antes de irse.</t>
  </si>
  <si>
    <t>masquer</t>
  </si>
  <si>
    <t>Nous masquons nos émotions pour ne pas inquiéter les autres.</t>
  </si>
  <si>
    <t>Ocultamos nuestras emociones para no preocupar a los demás.</t>
  </si>
  <si>
    <t>persuader</t>
  </si>
  <si>
    <t>Il persuade le jury de sa sincérité.</t>
  </si>
  <si>
    <t>Convence al jurado de su sinceridad.</t>
  </si>
  <si>
    <t>fusionner</t>
  </si>
  <si>
    <t>Elle fusionne les deux entreprises pour créer un géant industriel.</t>
  </si>
  <si>
    <t>Fusionó las dos empresas para crear un gigante industrial.</t>
  </si>
  <si>
    <t>négliger</t>
  </si>
  <si>
    <t>Ils négligent les avertissements et continuent.</t>
  </si>
  <si>
    <t>Ignoran las advertencias y continúan.</t>
  </si>
  <si>
    <t>rectifier</t>
  </si>
  <si>
    <t>Nous rectifions les erreurs dans le rapport final.</t>
  </si>
  <si>
    <t>Corregimos errores en el informe final.</t>
  </si>
  <si>
    <t>renseigner</t>
  </si>
  <si>
    <t>Il renseigne les nouveaux arrivants sur les procédures.</t>
  </si>
  <si>
    <t>Informa a los recién llegados sobre los procedimientos.</t>
  </si>
  <si>
    <t>initier</t>
  </si>
  <si>
    <t>Elle initie le projet dès le début.</t>
  </si>
  <si>
    <t>Ella inicia el proyecto desde el principio.</t>
  </si>
  <si>
    <t>commercialiser</t>
  </si>
  <si>
    <t>Ils commercialisent leur produit avec succès.</t>
  </si>
  <si>
    <t>Comercializan su producto con éxito.</t>
  </si>
  <si>
    <t>consigner</t>
  </si>
  <si>
    <t>Nous consignons toutes les données dans un fichier.</t>
  </si>
  <si>
    <t>Registramos todos los datos en un archivo.</t>
  </si>
  <si>
    <t>consentir</t>
  </si>
  <si>
    <t>Il consent à participer à l'étude.</t>
  </si>
  <si>
    <t>Acepta participar en el estudio.</t>
  </si>
  <si>
    <t>plier</t>
  </si>
  <si>
    <t>Elle plie ses vêtements avant de les ranger.</t>
  </si>
  <si>
    <t>Dobla su ropa antes de guardarla.</t>
  </si>
  <si>
    <t>souder</t>
  </si>
  <si>
    <t>Ils soudent les pièces métalliques ensemble.</t>
  </si>
  <si>
    <t>Sueldan las piezas metálicas entre sí.</t>
  </si>
  <si>
    <t>découper</t>
  </si>
  <si>
    <t>Nous décupons les légumes pour la soupe.</t>
  </si>
  <si>
    <t>Cortamos las verduras para la sopa.</t>
  </si>
  <si>
    <t>souper</t>
  </si>
  <si>
    <t>Elle soupe tard ce soir à cause du travail.</t>
  </si>
  <si>
    <t>Esta noche come tarde debido al trabajo.</t>
  </si>
  <si>
    <t>débuter</t>
  </si>
  <si>
    <t>Ils débutent leur voyage tôt le matin.</t>
  </si>
  <si>
    <t>Comienzan su viaje temprano en la mañana.</t>
  </si>
  <si>
    <t>desservir</t>
  </si>
  <si>
    <t>Nous desservons les clients avec efficacité.</t>
  </si>
  <si>
    <t>Atendemos a los clientes de manera eficiente.</t>
  </si>
  <si>
    <t>infliger</t>
  </si>
  <si>
    <t>Il inflige une lourde amende pour excès de vitesse.</t>
  </si>
  <si>
    <t>Le impone una fuerte multa por exceso de velocidad.</t>
  </si>
  <si>
    <t>blâmer</t>
  </si>
  <si>
    <t>Elle blâme son frère pour le désordre dans la chambre.</t>
  </si>
  <si>
    <t>Ella culpa a su hermano por el desorden en la habitación.</t>
  </si>
  <si>
    <t>repenser</t>
  </si>
  <si>
    <t>Ils repensent leur stratégie marketing pour attirer plus de clients.</t>
  </si>
  <si>
    <t>Están repensando su estrategia de marketing para atraer más clientes.</t>
  </si>
  <si>
    <t>séduire</t>
  </si>
  <si>
    <t>Nous séduisons le public avec notre nouvelle campagne.</t>
  </si>
  <si>
    <t>Estamos atrayendo al público con nuestra nueva campaña.</t>
  </si>
  <si>
    <t>finaliser</t>
  </si>
  <si>
    <t>Il finalise son rapport avant la réunion.</t>
  </si>
  <si>
    <t>Finaliza su informe antes de la reunión.</t>
  </si>
  <si>
    <t>resserrer</t>
  </si>
  <si>
    <t>Ils resserrent les liens avec leurs partenaires commerciaux.</t>
  </si>
  <si>
    <t>Fortalecen los vínculos con sus socios comerciales.</t>
  </si>
  <si>
    <t>trier</t>
  </si>
  <si>
    <t>Nous trions les déchets pour le recyclage.</t>
  </si>
  <si>
    <t>Separamos los residuos para reciclarlos.</t>
  </si>
  <si>
    <t>tolérer</t>
  </si>
  <si>
    <t>Elle tolère les opinions différentes des siennes.</t>
  </si>
  <si>
    <t>Tolera opiniones diferentes a las suyas.</t>
  </si>
  <si>
    <t>filmer</t>
  </si>
  <si>
    <t>Ils filment le documentaire dans des conditions difficiles.</t>
  </si>
  <si>
    <t>Filmaron el documental en condiciones difíciles.</t>
  </si>
  <si>
    <t>éclaircir</t>
  </si>
  <si>
    <t>Nous éclaircissons les détails de l'accord.</t>
  </si>
  <si>
    <t>Aclaramos los detalles del acuerdo.</t>
  </si>
  <si>
    <t>synchroniser</t>
  </si>
  <si>
    <t>Il synchronise les horloges pour qu'elles soient exactes.</t>
  </si>
  <si>
    <t>Sincroniza los relojes para que sean precisos.</t>
  </si>
  <si>
    <t>piéger</t>
  </si>
  <si>
    <t>Elle piège ses amis avec une blague bien orchestrée.</t>
  </si>
  <si>
    <t>Atrapa a sus amigos con una broma bien orquestada.</t>
  </si>
  <si>
    <t>démissionner</t>
  </si>
  <si>
    <t>Ils démissionnent de leur poste pour explorer de nouvelles opportunités.</t>
  </si>
  <si>
    <t>Renuncian a sus cargos para explorar nuevas oportunidades.</t>
  </si>
  <si>
    <t>récolter</t>
  </si>
  <si>
    <t>Nous récoltons les fruits de notre travail acharné.</t>
  </si>
  <si>
    <t>Estamos cosechando los frutos de nuestro arduo trabajo.</t>
  </si>
  <si>
    <t>habiter</t>
  </si>
  <si>
    <t>Il habite dans un petit village au bord de la mer.</t>
  </si>
  <si>
    <t>Vive en un pequeño pueblo junto al mar.</t>
  </si>
  <si>
    <t>récompenser</t>
  </si>
  <si>
    <t>Elle récompense les meilleurs élèves de la classe.</t>
  </si>
  <si>
    <t>Premia a los mejores estudiantes de la clase.</t>
  </si>
  <si>
    <t>noyer</t>
  </si>
  <si>
    <t>Il essaie de noyer ses soucis dans l'alcool.</t>
  </si>
  <si>
    <t>Intenta ahogar sus preocupaciones en alcohol.</t>
  </si>
  <si>
    <t>dissimuler</t>
  </si>
  <si>
    <t>Elle dissimule ses intentions derrière un sourire.</t>
  </si>
  <si>
    <t>Oculta sus intenciones detrás de una sonrisa.</t>
  </si>
  <si>
    <t>contraindre</t>
  </si>
  <si>
    <t>Ils le contraignent à signer le contrat.</t>
  </si>
  <si>
    <t>Lo obligan a firmar el contrato.</t>
  </si>
  <si>
    <t>revêtir</t>
  </si>
  <si>
    <t>Le roi revêt son habit de cérémonie.</t>
  </si>
  <si>
    <t>El rey se pone su traje ceremonial.</t>
  </si>
  <si>
    <t>appréhender</t>
  </si>
  <si>
    <t>Elle appréhende mal la situation actuelle.</t>
  </si>
  <si>
    <t>Tiene dificultades para comprender la situación actual.</t>
  </si>
  <si>
    <t>presser</t>
  </si>
  <si>
    <t>Il presse ses collaborateurs pour terminer le projet à temps.</t>
  </si>
  <si>
    <t>Insta a sus colegas a completar el proyecto a tiempo.</t>
  </si>
  <si>
    <t>souscrire</t>
  </si>
  <si>
    <t>Ils souscrivent à un abonnement mensuel.</t>
  </si>
  <si>
    <t>Se registran para obtener una suscripción mensual.</t>
  </si>
  <si>
    <t>suffire</t>
  </si>
  <si>
    <t>Cette explication suffira-t-elle à dissiper tes doutes ?</t>
  </si>
  <si>
    <t>¿Será esta explicación suficiente para disipar tus dudas?</t>
  </si>
  <si>
    <t>enfermer</t>
  </si>
  <si>
    <t>Il enferme les outils dans le coffre.</t>
  </si>
  <si>
    <t>Guarda las herramientas en el maletero.</t>
  </si>
  <si>
    <t>siéger</t>
  </si>
  <si>
    <t>Elle siège au conseil d'administration.</t>
  </si>
  <si>
    <t>Ella forma parte de la junta directiva.</t>
  </si>
  <si>
    <t>innover</t>
  </si>
  <si>
    <t>L'entreprise innove constamment pour rester compétitive.</t>
  </si>
  <si>
    <t>La empresa innova constantemente para seguir siendo competitiva.</t>
  </si>
  <si>
    <t>décoder</t>
  </si>
  <si>
    <t>Il décrypte le code complexe.</t>
  </si>
  <si>
    <t>Descifra el código complejo.</t>
  </si>
  <si>
    <t>relâcher</t>
  </si>
  <si>
    <t>Elle relâche la pression après une longue journée.</t>
  </si>
  <si>
    <t>Alivia la presión después de un largo día.</t>
  </si>
  <si>
    <t>signifier</t>
  </si>
  <si>
    <t>Ce geste signifie beaucoup pour moi.</t>
  </si>
  <si>
    <t>Este gesto significa mucho para mí.</t>
  </si>
  <si>
    <t>rehausser</t>
  </si>
  <si>
    <t>Ils rehaussent le niveau de sécurité dans l'entreprise.</t>
  </si>
  <si>
    <t>Aumentan el nivel de seguridad en la empresa.</t>
  </si>
  <si>
    <t>implanter</t>
  </si>
  <si>
    <t>Nous implantons une nouvelle politique d'entreprise.</t>
  </si>
  <si>
    <t>Estamos implementando una nueva política de empresa.</t>
  </si>
  <si>
    <t>comprimer</t>
  </si>
  <si>
    <t>Il compresse les fichiers pour économiser de l'espace.</t>
  </si>
  <si>
    <t>Comprime archivos para ahorrar espacio.</t>
  </si>
  <si>
    <t>promettre</t>
  </si>
  <si>
    <t>Elle promet de venir nous rendre visite.</t>
  </si>
  <si>
    <t>Ella promete venir a visitarnos.</t>
  </si>
  <si>
    <t>dissiper</t>
  </si>
  <si>
    <t>Ils dissipent les malentendus avec une discussion franche.</t>
  </si>
  <si>
    <t>Aclaran malentendidos con una discusión franca.</t>
  </si>
  <si>
    <t>éclater</t>
  </si>
  <si>
    <t>La colère éclate dans la salle de réunion.</t>
  </si>
  <si>
    <t>La ira estalla en la sala de reuniones.</t>
  </si>
  <si>
    <t>différencier</t>
  </si>
  <si>
    <t>Il différencie les produits selon leurs caractéristiques.</t>
  </si>
  <si>
    <t>Diferencia los productos según sus características.</t>
  </si>
  <si>
    <t>compiler</t>
  </si>
  <si>
    <t>Nous compilons les données pour l'analyse.</t>
  </si>
  <si>
    <t>Recopilamos los datos para su análisis.</t>
  </si>
  <si>
    <t>mémoriser</t>
  </si>
  <si>
    <t>Elle mémorise tous les détails du plan.</t>
  </si>
  <si>
    <t>Ella memoriza todos los detalles del plan.</t>
  </si>
  <si>
    <t>atterrir</t>
  </si>
  <si>
    <t>L'avion va atterrir dans quelques minutes.</t>
  </si>
  <si>
    <t>El avión aterrizará en unos minutos.</t>
  </si>
  <si>
    <t>naître</t>
  </si>
  <si>
    <t>Ils naissent dans une famille aimante.</t>
  </si>
  <si>
    <t>Nacen en una familia amorosa.</t>
  </si>
  <si>
    <t>venger</t>
  </si>
  <si>
    <t>Elle venge son ami en affrontant son ennemi.</t>
  </si>
  <si>
    <t>Ella venga a su amiga enfrentándose a su enemigo.</t>
  </si>
  <si>
    <t>ménager</t>
  </si>
  <si>
    <t>Ils ménagent leurs efforts pour le marathon.</t>
  </si>
  <si>
    <t>Guardan sus esfuerzos para el maratón.</t>
  </si>
  <si>
    <t>allonger</t>
  </si>
  <si>
    <t>Nous allongeons la durée de la réunion.</t>
  </si>
  <si>
    <t>Ampliamos la duración de la reunión.</t>
  </si>
  <si>
    <t>dévoiler</t>
  </si>
  <si>
    <t>Il dévoile son projet lors de la conférence.</t>
  </si>
  <si>
    <t>Revela su proyecto durante la conferencia.</t>
  </si>
  <si>
    <t>recycler</t>
  </si>
  <si>
    <t>Ils recyclent les déchets pour protéger l'environnement.</t>
  </si>
  <si>
    <t>Reciclan residuos para proteger el medio ambiente.</t>
  </si>
  <si>
    <t>coulisser</t>
  </si>
  <si>
    <t>La porte coulisse doucement sur ses rails.</t>
  </si>
  <si>
    <t>La puerta se desliza suavemente sobre sus rieles.</t>
  </si>
  <si>
    <t>imiter</t>
  </si>
  <si>
    <t>Elle imite parfaitement l'accent étranger.</t>
  </si>
  <si>
    <t>Imita perfectamente el acento extranjero.</t>
  </si>
  <si>
    <t>détacher</t>
  </si>
  <si>
    <t>Il détache les cordes pour décharger la cargaison.</t>
  </si>
  <si>
    <t>Desata las cuerdas para descargar la carga.</t>
  </si>
  <si>
    <t>édifier</t>
  </si>
  <si>
    <t>Ils édifient une nouvelle école dans le quartier.</t>
  </si>
  <si>
    <t>Están construyendo una nueva escuela en el barrio.</t>
  </si>
  <si>
    <t>prospérer</t>
  </si>
  <si>
    <t>Nous prospérons grâce à nos efforts collectifs.</t>
  </si>
  <si>
    <t>Prosperamos a través de nuestros esfuerzos colectivos.</t>
  </si>
  <si>
    <t>forger</t>
  </si>
  <si>
    <t>Elle forge son propre chemin vers le succès.</t>
  </si>
  <si>
    <t>Ella forja su propio camino hacia el éxito.</t>
  </si>
  <si>
    <t>ruiner</t>
  </si>
  <si>
    <t>Ils ruinent leurs chances avec une mauvaise décision.</t>
  </si>
  <si>
    <t>Arruinan sus posibilidades con una mala decisión.</t>
  </si>
  <si>
    <t>supposer</t>
  </si>
  <si>
    <t>Il suppose que vous avez déjà entendu parler de cela.</t>
  </si>
  <si>
    <t>Supone que has oído hablar de esto antes.</t>
  </si>
  <si>
    <t>expédier</t>
  </si>
  <si>
    <t>Elle expédie le colis par courrier express.</t>
  </si>
  <si>
    <t>Ella envía el paquete por correo urgente.</t>
  </si>
  <si>
    <t>éprouver</t>
  </si>
  <si>
    <t>Nous éprouvons de la gratitude envers nos supporters.</t>
  </si>
  <si>
    <t>Estamos agradecidos a nuestros seguidores.</t>
  </si>
  <si>
    <t>réchauffer</t>
  </si>
  <si>
    <t>Il réchauffe ses mains près du feu.</t>
  </si>
  <si>
    <t>Se calienta las manos cerca del fuego.</t>
  </si>
  <si>
    <t>aménager</t>
  </si>
  <si>
    <t>Ils aménagent le jardin pour accueillir les invités.</t>
  </si>
  <si>
    <t>Arregla el jardín para recibir a los invitados.</t>
  </si>
  <si>
    <t>restructurer</t>
  </si>
  <si>
    <t>Elle restructure son entreprise pour améliorer l'efficacité.</t>
  </si>
  <si>
    <t>Está reestructurando su negocio para mejorar la eficiencia.</t>
  </si>
  <si>
    <t>répandre</t>
  </si>
  <si>
    <t>Ils répandent la nouvelle à travers les médias.</t>
  </si>
  <si>
    <t>Difundieron la noticia a través de los medios.</t>
  </si>
  <si>
    <t>prescrire</t>
  </si>
  <si>
    <t>Il prescrit un traitement pour soulager la douleur.</t>
  </si>
  <si>
    <t>Prescribe un tratamiento para aliviar el dolor.</t>
  </si>
  <si>
    <t>contracter</t>
  </si>
  <si>
    <t>Elle contracte ses muscles avant de sauter.</t>
  </si>
  <si>
    <t>Ella tensa sus músculos antes de saltar.</t>
  </si>
  <si>
    <t>apaiser</t>
  </si>
  <si>
    <t>Nous apaisons les tensions avec des mots doux.</t>
  </si>
  <si>
    <t>Aliviamos las tensiones con palabras amables.</t>
  </si>
  <si>
    <t>indemniser</t>
  </si>
  <si>
    <t>Il indemnise les victimes de l'accident.</t>
  </si>
  <si>
    <t>Indemniza a las víctimas del accidente.</t>
  </si>
  <si>
    <t>échouer</t>
  </si>
  <si>
    <t>Elle échoue à résoudre l'énigme.</t>
  </si>
  <si>
    <t>Ella no logra resolver el acertijo.</t>
  </si>
  <si>
    <t>fréquenter</t>
  </si>
  <si>
    <t>Ils fréquentent la même école depuis des années.</t>
  </si>
  <si>
    <t>Llevan años asistiendo a la misma escuela.</t>
  </si>
  <si>
    <t>présider</t>
  </si>
  <si>
    <t>Nous présidons la réunion avec autorité.</t>
  </si>
  <si>
    <t>Presidemos la reunión con autoridad.</t>
  </si>
  <si>
    <t>abroger</t>
  </si>
  <si>
    <t>Il abroge la loi controversée.</t>
  </si>
  <si>
    <t>Deroga la controvertida ley.</t>
  </si>
  <si>
    <t>dépendre</t>
  </si>
  <si>
    <t>Elle dépend de son équipe pour le succès du projet.</t>
  </si>
  <si>
    <t>Ella depende de su equipo para el éxito del proyecto.</t>
  </si>
  <si>
    <t>compliquer</t>
  </si>
  <si>
    <t>Ils compliquent inutilement la situation.</t>
  </si>
  <si>
    <t>Complican innecesariamente la situación.</t>
  </si>
  <si>
    <t>accentuer</t>
  </si>
  <si>
    <t>Nous accentuons nos efforts pour atteindre nos objectifs.</t>
  </si>
  <si>
    <t>Estamos intensificando nuestros esfuerzos para lograr nuestros objetivos.</t>
  </si>
  <si>
    <t>dialoguer</t>
  </si>
  <si>
    <t>Il dialogue avec les membres de son équipe.</t>
  </si>
  <si>
    <t>Se comunica con los miembros de su equipo.</t>
  </si>
  <si>
    <t>obéir</t>
  </si>
  <si>
    <t>Elle obéit aux règles strictes de l'entreprise.</t>
  </si>
  <si>
    <t>Obedece estrictas reglas de la empresa.</t>
  </si>
  <si>
    <t>ressortir</t>
  </si>
  <si>
    <t>Ils ressortent les dossiers pour vérification.</t>
  </si>
  <si>
    <t>Sacan los archivos para su verificación.</t>
  </si>
  <si>
    <t>structurer</t>
  </si>
  <si>
    <t>Nous structurons le document de manière claire.</t>
  </si>
  <si>
    <t>Estructuramos el documento de forma clara.</t>
  </si>
  <si>
    <t>sceller</t>
  </si>
  <si>
    <t>Il scelle l'accord avec une poignée de main.</t>
  </si>
  <si>
    <t>Cierra el trato con un apretón de manos.</t>
  </si>
  <si>
    <t>énoncer</t>
  </si>
  <si>
    <t>Elle énonce clairement ses exigences.</t>
  </si>
  <si>
    <t>Ella establece claramente sus requisitos.</t>
  </si>
  <si>
    <t>embarquer</t>
  </si>
  <si>
    <t>Ils embarquent dans le train en direction de la ville.</t>
  </si>
  <si>
    <t>Suben al tren rumbo a la ciudad.</t>
  </si>
  <si>
    <t>énumérer</t>
  </si>
  <si>
    <t>Nous énumérons les points à discuter lors de la réunion.</t>
  </si>
  <si>
    <t>Enumeramos los puntos a discutir durante la reunión.</t>
  </si>
  <si>
    <t>étouffer</t>
  </si>
  <si>
    <t>Il étouffe ses rires pour ne pas perturber la classe.</t>
  </si>
  <si>
    <t>Reprime la risa para no interrumpir la clase.</t>
  </si>
  <si>
    <t>basculer</t>
  </si>
  <si>
    <t>Ils basculent d'une stratégie à une autre.</t>
  </si>
  <si>
    <t>Pasan de una estrategia a otra.</t>
  </si>
  <si>
    <t>redéfinir</t>
  </si>
  <si>
    <t>Elle redéfinit son objectif personnel.</t>
  </si>
  <si>
    <t>Ella redefine su objetivo personal.</t>
  </si>
  <si>
    <t>référer</t>
  </si>
  <si>
    <t>Il faut se référer à des sources fiables</t>
  </si>
  <si>
    <t>Debes consultar fuentes confiables.</t>
  </si>
  <si>
    <t>réitérer</t>
  </si>
  <si>
    <t>Ils réitèrent leur engagement envers la communauté.</t>
  </si>
  <si>
    <t>Reiteran su compromiso con la comunidad.</t>
  </si>
  <si>
    <t>restituer</t>
  </si>
  <si>
    <t>Nous restituons les documents après la lecture.</t>
  </si>
  <si>
    <t>Devolvemos los documentos después de leerlos.</t>
  </si>
  <si>
    <t>balayer</t>
  </si>
  <si>
    <t>Il balaye les feuilles mortes devant sa porte.</t>
  </si>
  <si>
    <t>Barre las hojas muertas frente a su puerta.</t>
  </si>
  <si>
    <t>revitaliser</t>
  </si>
  <si>
    <t>Elle revitalise le quartier avec des projets culturels.</t>
  </si>
  <si>
    <t>Revitaliza el barrio con proyectos culturales.</t>
  </si>
  <si>
    <t>promener</t>
  </si>
  <si>
    <t>Ils se promènent le long de la plage au coucher du soleil.</t>
  </si>
  <si>
    <t>Caminan por la playa al atardecer.</t>
  </si>
  <si>
    <t>soustraire</t>
  </si>
  <si>
    <t>Nous soustrayons les frais de transport du total.</t>
  </si>
  <si>
    <t>Del total restamos los gastos de envío.</t>
  </si>
  <si>
    <t>gonfler</t>
  </si>
  <si>
    <t>Il gonfle le ballon pour la fête d'anniversaire.</t>
  </si>
  <si>
    <t>Infla el globo para la fiesta de cumpleaños.</t>
  </si>
  <si>
    <t>crever</t>
  </si>
  <si>
    <t>Elle creve les boutons de la chemise.</t>
  </si>
  <si>
    <t>Ella rasga los botones de la camisa.</t>
  </si>
  <si>
    <t>clore</t>
  </si>
  <si>
    <t>Ils clorent le dossier après avoir trouvé une solution.</t>
  </si>
  <si>
    <t>Cierran el caso tras encontrar una solución.</t>
  </si>
  <si>
    <t>trahir</t>
  </si>
  <si>
    <t>Il trahit son ami en révélant son secret.</t>
  </si>
  <si>
    <t>Traiciona a su amigo al revelar su secreto.</t>
  </si>
  <si>
    <t>préoccuper</t>
  </si>
  <si>
    <t>Nous nous préoccupons de l'avenir de nos enfants.</t>
  </si>
  <si>
    <t>Nos preocupamos por el futuro de nuestros hijos.</t>
  </si>
  <si>
    <t>redresser</t>
  </si>
  <si>
    <t>Elle redresse sa posture pour paraître plus confiante.</t>
  </si>
  <si>
    <t>Ella endereza su postura para parecer más segura.</t>
  </si>
  <si>
    <t>purger</t>
  </si>
  <si>
    <t>Ils purgent les excès de leur système.</t>
  </si>
  <si>
    <t>Purgan el exceso de su sistema.</t>
  </si>
  <si>
    <t>effrayer</t>
  </si>
  <si>
    <t>Nous effrayons les enfants avec des histoires de fantômes.</t>
  </si>
  <si>
    <t>Asustamos a los niños con historias de fantasmas.</t>
  </si>
  <si>
    <t>résider</t>
  </si>
  <si>
    <t>Il réside dans un petit village pittoresque.</t>
  </si>
  <si>
    <t>Reside en un pequeño pueblo pintoresco.</t>
  </si>
  <si>
    <t>alerter</t>
  </si>
  <si>
    <t>Elle alerte son équipe sur les changements à venir.</t>
  </si>
  <si>
    <t>Ella alerta a su equipo sobre los próximos cambios.</t>
  </si>
  <si>
    <t>différer</t>
  </si>
  <si>
    <t>Ils diffèrent sur la stratégie à adopter.</t>
  </si>
  <si>
    <t>Difieren sobre la estrategia a adoptar.</t>
  </si>
  <si>
    <t>proroger</t>
  </si>
  <si>
    <t>Nous prorogeons la date limite de soumission.</t>
  </si>
  <si>
    <t>Ampliamos el plazo de presentación.</t>
  </si>
  <si>
    <t>délimiter</t>
  </si>
  <si>
    <t>Il délimite la zone de construction avec des barrières.</t>
  </si>
  <si>
    <t>Demarca la zona de construcción con barreras.</t>
  </si>
  <si>
    <t>altérer</t>
  </si>
  <si>
    <t>Elle altère légèrement le contenu du rapport.</t>
  </si>
  <si>
    <t>Altera ligeramente el contenido del informe.</t>
  </si>
  <si>
    <t>régir</t>
  </si>
  <si>
    <t>Ils régissent les règles du jeu avec rigueur.</t>
  </si>
  <si>
    <t>Rigen rigurosamente las reglas del juego.</t>
  </si>
  <si>
    <t>réévaluer</t>
  </si>
  <si>
    <t>Nous réévaluons nos objectifs pour le trimestre suivant.</t>
  </si>
  <si>
    <t>Estamos reevaluando nuestros objetivos para el siguiente trimestre.</t>
  </si>
  <si>
    <t>déléguer</t>
  </si>
  <si>
    <t>Il délègue les tâches aux membres de l'équipe.</t>
  </si>
  <si>
    <t>Delega tareas a los miembros del equipo.</t>
  </si>
  <si>
    <t>concourir</t>
  </si>
  <si>
    <t>Elle concourt dans la compétition de natation.</t>
  </si>
  <si>
    <t>Ella compite en la competencia de natación.</t>
  </si>
  <si>
    <t>entourer</t>
  </si>
  <si>
    <t>Ils entourent la maison d'une clôture pour plus d'intimité.</t>
  </si>
  <si>
    <t>Rodean la casa con una valla para mayor privacidad.</t>
  </si>
  <si>
    <t>normaliser</t>
  </si>
  <si>
    <t>Nous normalisons nos relations avec nos voisins.</t>
  </si>
  <si>
    <t>Normalizamos nuestras relaciones con nuestros vecinos.</t>
  </si>
  <si>
    <t>ériger</t>
  </si>
  <si>
    <t>Il érige une statue en l'honneur du héros local.</t>
  </si>
  <si>
    <t>Erigió una estatua en honor del héroe local.</t>
  </si>
  <si>
    <t>aspirer</t>
  </si>
  <si>
    <t>Elle aspire à devenir une artiste célèbre.</t>
  </si>
  <si>
    <t>Ella aspira a convertirse en una artista famosa.</t>
  </si>
  <si>
    <t>dévier</t>
  </si>
  <si>
    <t>Ils dévient de leur chemin habituel pour explorer de nouveaux endroits.</t>
  </si>
  <si>
    <t>Se desvían de su camino habitual para explorar nuevos lugares.</t>
  </si>
  <si>
    <t>rouvrir</t>
  </si>
  <si>
    <t>Nous rouvrons les portes après la rénovation.</t>
  </si>
  <si>
    <t>Volvemos a abrir las puertas después de la renovación.</t>
  </si>
  <si>
    <t>concerner</t>
  </si>
  <si>
    <t>Il concerne toute l'équipe et pas seulement quelques membres.</t>
  </si>
  <si>
    <t>Se trata de todo el equipo y no sólo de unos pocos miembros.</t>
  </si>
  <si>
    <t>perpétuer</t>
  </si>
  <si>
    <t>Elle perpétue la tradition familiale chaque année.</t>
  </si>
  <si>
    <t>Ella continúa la tradición familiar cada año.</t>
  </si>
  <si>
    <t>disperser</t>
  </si>
  <si>
    <t>Ils dispersent les cendres du défunt dans la m</t>
  </si>
  <si>
    <t>Esparcen las cenizas de los difuntos en la m</t>
  </si>
  <si>
    <t>gêner</t>
  </si>
  <si>
    <t>Ses remarques incessantes gênent tout le monde.</t>
  </si>
  <si>
    <t>Sus incesantes comentarios molestan a todos.</t>
  </si>
  <si>
    <t>semer</t>
  </si>
  <si>
    <t>Ils sèment des graines dans le jardin chaque printemps.</t>
  </si>
  <si>
    <t>Siembra semillas en el jardín cada primavera.</t>
  </si>
  <si>
    <t>durcir</t>
  </si>
  <si>
    <t>Le ciment commence à durcir rapidement.</t>
  </si>
  <si>
    <t>El cemento comienza a endurecerse rápidamente.</t>
  </si>
  <si>
    <t>décevoir</t>
  </si>
  <si>
    <t>Ils sont déçus par les résultats du match.</t>
  </si>
  <si>
    <t>Están decepcionados con los resultados del partido.</t>
  </si>
  <si>
    <t>dériver</t>
  </si>
  <si>
    <t>Le fleuve dérive lentement vers l'océan.</t>
  </si>
  <si>
    <t>El río avanza lentamente hacia el océano.</t>
  </si>
  <si>
    <t>agiter</t>
  </si>
  <si>
    <t>Il agite les bras pour attirer l'attention.</t>
  </si>
  <si>
    <t>Agita los brazos para llamar la atención.</t>
  </si>
  <si>
    <t>user</t>
  </si>
  <si>
    <t>Elle use ses chaussures en marchant toute la journée.</t>
  </si>
  <si>
    <t>Se gasta los zapatos caminando todo el día.</t>
  </si>
  <si>
    <t>centrer</t>
  </si>
  <si>
    <t>Nous centrons nos efforts sur la qualité du produit.</t>
  </si>
  <si>
    <t>Centramos nuestros esfuerzos en la calidad del producto.</t>
  </si>
  <si>
    <t>démanteler</t>
  </si>
  <si>
    <t>Ils décident de démanteler l'ancienne usine.</t>
  </si>
  <si>
    <t>Deciden desmantelar la antigua fábrica.</t>
  </si>
  <si>
    <t>immobiliser</t>
  </si>
  <si>
    <t>La panne immobilise toutes les machines.</t>
  </si>
  <si>
    <t>La avería inmoviliza todas las máquinas.</t>
  </si>
  <si>
    <t>commuter</t>
  </si>
  <si>
    <t>Ils doivent commuter entre deux trains pour arriver à destination.</t>
  </si>
  <si>
    <t>Tienen que cambiar entre dos trenes para llegar a su destino.</t>
  </si>
  <si>
    <t>enfoncer</t>
  </si>
  <si>
    <t>Il enfonce le clou dans le mur.</t>
  </si>
  <si>
    <t>Clava el clavo en la pared.</t>
  </si>
  <si>
    <t>endiguer</t>
  </si>
  <si>
    <t>Elle essaye d'endiguer la propagation de la rumeur.</t>
  </si>
  <si>
    <t>Intenta detener la propagación del rumor.</t>
  </si>
  <si>
    <t>conformer</t>
  </si>
  <si>
    <t>Nous devons nous conformer aux règles de sécurité.</t>
  </si>
  <si>
    <t>Debemos cumplir con las normas de seguridad.</t>
  </si>
  <si>
    <t>coudre</t>
  </si>
  <si>
    <t>Elle coud une nouvelle robe pour la soirée.</t>
  </si>
  <si>
    <t>Ella cose un vestido nuevo para la noche.</t>
  </si>
  <si>
    <t>réjouir</t>
  </si>
  <si>
    <t>Le bon résultat nous réjouit tous.</t>
  </si>
  <si>
    <t>El buen resultado nos agrada a todos.</t>
  </si>
  <si>
    <t>exciter</t>
  </si>
  <si>
    <t>Le discours du président excite la foule.</t>
  </si>
  <si>
    <t>El discurso del presidente emociona a la multitud.</t>
  </si>
  <si>
    <t>préférer</t>
  </si>
  <si>
    <t>Je préfère le thé au café.</t>
  </si>
  <si>
    <t>Prefiero el té al café.</t>
  </si>
  <si>
    <t>habituer</t>
  </si>
  <si>
    <t>Il s'habitue lentement à son nouvel environnement.</t>
  </si>
  <si>
    <t>Poco a poco se está acostumbrando a su nuevo entorno.</t>
  </si>
  <si>
    <t>falloir</t>
  </si>
  <si>
    <t>Il faut du courage pour affronter cette situation.</t>
  </si>
  <si>
    <t>Se necesita coraje para afrontar esta situación.</t>
  </si>
  <si>
    <t>déstabiliser</t>
  </si>
  <si>
    <t>Les critiques peuvent déstabiliser même les plus forts.</t>
  </si>
  <si>
    <t>Las críticas pueden desestabilizar incluso a los más fuertes.</t>
  </si>
  <si>
    <t>déroger</t>
  </si>
  <si>
    <t>Ils décident de déroger à la règle pour cette fois.</t>
  </si>
  <si>
    <t>Esta vez deciden desviarse de la regla.</t>
  </si>
  <si>
    <t>parfaire</t>
  </si>
  <si>
    <t>Elle a parfaitement préparé son discours.</t>
  </si>
  <si>
    <t>Preparó su discurso a la perfección.</t>
  </si>
  <si>
    <t>prévaloir</t>
  </si>
  <si>
    <t>Ce principe prévaut dans ce domaine.</t>
  </si>
  <si>
    <t>Este principio prevalece en este ámbito.</t>
  </si>
  <si>
    <t>régner</t>
  </si>
  <si>
    <t>La sagesse règne dans cette communauté.</t>
  </si>
  <si>
    <t>La sabiduría reina en esta comunidad.</t>
  </si>
  <si>
    <t>endormir</t>
  </si>
  <si>
    <t>Le sommeil l'endort dès qu'il ferme les yeux.</t>
  </si>
  <si>
    <t>El sueño lo pone dormido tan pronto como cierra los ojos.</t>
  </si>
  <si>
    <t>coincer</t>
  </si>
  <si>
    <t>Le tissu est coincé dans la machine à coudre.</t>
  </si>
  <si>
    <t>La tela está atascada en la máquina de coser.</t>
  </si>
  <si>
    <t>contempler</t>
  </si>
  <si>
    <t>Il contemple le coucher de soleil sur la mer.</t>
  </si>
  <si>
    <t>Contempla la puesta de sol sobre el mar.</t>
  </si>
  <si>
    <t>plaider</t>
  </si>
  <si>
    <t>L'avocat plaide la cause de son client avec passion.</t>
  </si>
  <si>
    <t>El abogado defiende con pasión la causa de su cliente.</t>
  </si>
  <si>
    <t>haïr</t>
  </si>
  <si>
    <t>Elle déteste les disputes.</t>
  </si>
  <si>
    <t>Odia las discusiones.</t>
  </si>
  <si>
    <t>accommoder</t>
  </si>
  <si>
    <t>Ils accommodent les invités avec des sièges supplémentaires.</t>
  </si>
  <si>
    <t>Acomodan a los huéspedes con asientos adicionales.</t>
  </si>
  <si>
    <t>cueillir</t>
  </si>
  <si>
    <t>Elle cueille des fleurs sauvages dans le champ.</t>
  </si>
  <si>
    <t>Recoge flores silvestres en el campo.</t>
  </si>
  <si>
    <t>pleuvoir</t>
  </si>
  <si>
    <t>Il pleut des cordes dehors.</t>
  </si>
  <si>
    <t>Afuera llueve mucho.</t>
  </si>
  <si>
    <t>bouillir</t>
  </si>
  <si>
    <t>L'eau commence à bouillir dans la casserole.</t>
  </si>
  <si>
    <t>El agua comienza a hervir en la cacerola.</t>
  </si>
  <si>
    <t>consoler</t>
  </si>
  <si>
    <t>Elle console son ami après sa rupture.</t>
  </si>
  <si>
    <t>Ella consuela a su amigo después de su ruptura.</t>
  </si>
  <si>
    <t>repentir</t>
  </si>
  <si>
    <t>Il se repent de ses actes passés.</t>
  </si>
  <si>
    <t>Se arrepiente de sus acciones pasadas.</t>
  </si>
  <si>
    <t>assoir</t>
  </si>
  <si>
    <t>Je m'assieds sur le banc pour me reposer.</t>
  </si>
  <si>
    <t>Me siento en el banco a descansar.</t>
  </si>
  <si>
    <t>miser</t>
  </si>
  <si>
    <t>Ils misent gros sur ce projet.</t>
  </si>
  <si>
    <t>Están apostando fuerte por este proyecto.</t>
  </si>
  <si>
    <t>fleurir</t>
  </si>
  <si>
    <t>Les roses commencent à fleurir au printemps.</t>
  </si>
  <si>
    <t>Las rosas comienzan a florecer en primavera.</t>
  </si>
  <si>
    <t>neiger</t>
  </si>
  <si>
    <t>Il neige recouvre le paysage d'un manteau blanc.</t>
  </si>
  <si>
    <t>La nieve cubre el paisaje con un manto blanco.</t>
  </si>
  <si>
    <t>peler</t>
  </si>
  <si>
    <t>Elle pèle les pommes de terre avant de les faire cuire.</t>
  </si>
  <si>
    <t>Pela las patatas antes de cocinarlas.</t>
  </si>
  <si>
    <t>léguer</t>
  </si>
  <si>
    <t>Il lègue ses biens à ses enfants.</t>
  </si>
  <si>
    <t>Deja sus bienes a sus hijos.</t>
  </si>
  <si>
    <t>frire</t>
  </si>
  <si>
    <t>Ils font frire le poisson dans l'huile chaude.</t>
  </si>
  <si>
    <t>Se fríe el pescado en aceite caliente.</t>
  </si>
  <si>
    <t>surseoir</t>
  </si>
  <si>
    <t>Nous devons surseoir à la réunion jusqu'à nouvel ordre.</t>
  </si>
  <si>
    <t>Debemos posponer la reunión hasta nuevo aviso.</t>
  </si>
  <si>
    <t>cumuler</t>
  </si>
  <si>
    <t>Ils cumulent les points pour gagner le concours.</t>
  </si>
  <si>
    <t>Acumulan puntos para ganar la competición.</t>
  </si>
  <si>
    <t>apparaître</t>
  </si>
  <si>
    <t>Des problèmes commencent à apparaître dans le système.</t>
  </si>
  <si>
    <t>Los problemas comienzan a aparecer en el sistema.</t>
  </si>
  <si>
    <t>émaner</t>
  </si>
  <si>
    <t>La lumière émane de la lampe allumée.</t>
  </si>
  <si>
    <t>La luz emana de la lámpara encendida.</t>
  </si>
  <si>
    <t>incomber</t>
  </si>
  <si>
    <t>Il incombe à chacun de faire sa part.</t>
  </si>
  <si>
    <t>Depende de todos hacer su parte.</t>
  </si>
  <si>
    <t>traire</t>
  </si>
  <si>
    <t>Elle traie la vache chaque matin.</t>
  </si>
  <si>
    <t>Ella ordeña la vaca todas las mañanas.</t>
  </si>
  <si>
    <t>distiller</t>
  </si>
  <si>
    <t>Ils distillent le whisky dans la distillerie locale.</t>
  </si>
  <si>
    <t>Destilan el whisky en la destilería local.</t>
  </si>
  <si>
    <t>moudre</t>
  </si>
  <si>
    <t>Elle moud le café fraîchement torréfié.</t>
  </si>
  <si>
    <t>Ella muele café recién tostado.</t>
  </si>
  <si>
    <t>éclore</t>
  </si>
  <si>
    <t>La fleur commence à éclore au soleil du matin.</t>
  </si>
  <si>
    <t>La flor comienza a florecer con el sol de la mañana.</t>
  </si>
  <si>
    <t>aliéner</t>
  </si>
  <si>
    <t>La politique actuelle aliène une partie de l'électorat.</t>
  </si>
  <si>
    <t>La política actual aliena a parte del electorado.</t>
  </si>
  <si>
    <t>advenir</t>
  </si>
  <si>
    <t>Il advient parfois que la chance soit de notre côté.</t>
  </si>
  <si>
    <t>A veces la suerte está de nuestro lado.</t>
  </si>
  <si>
    <t>paître</t>
  </si>
  <si>
    <t>Les vaches paissent paisiblement dans le champ.</t>
  </si>
  <si>
    <t>Las vacas pastan tranquilamente en el campo.</t>
  </si>
  <si>
    <t>émouvoir</t>
  </si>
  <si>
    <t>Le film l'émouvoit aux larmes.</t>
  </si>
  <si>
    <t>La película lo conmovió hasta las lágrimas.</t>
  </si>
  <si>
    <t>chuchoter</t>
  </si>
  <si>
    <t>Ils chuchotent des secrets à l'oreille.</t>
  </si>
  <si>
    <t>Te susurran secretos al oído.</t>
  </si>
  <si>
    <t>mouvoir</t>
  </si>
  <si>
    <t>Ils se mouvent lentement vers le centre-ville.</t>
  </si>
  <si>
    <t>Se están moviendo lentamente hacia el centro de la ciudad.</t>
  </si>
  <si>
    <t>léser</t>
  </si>
  <si>
    <t>Elle lèse ses droits en ne lui accordant pas une juste compensation.</t>
  </si>
  <si>
    <t>Ella infringe sus derechos al no concederle una compensación justa.</t>
  </si>
  <si>
    <t>soupirer</t>
  </si>
  <si>
    <t>Il soupire de soulagement après l'annonce des résultats.</t>
  </si>
  <si>
    <t>Suspira aliviado después de que se anuncian los resultados.</t>
  </si>
  <si>
    <t>impartir</t>
  </si>
  <si>
    <t>Elle impartit les tâches équitablement entre ses enfants.</t>
  </si>
  <si>
    <t>Distribuye las tareas de manera justa entre sus hijos.</t>
  </si>
  <si>
    <t>aboyer</t>
  </si>
  <si>
    <t>Le chien aboie bruyamment la nuit.</t>
  </si>
  <si>
    <t>El perro ladra fuerte por la noche.</t>
  </si>
  <si>
    <t>éternuer</t>
  </si>
  <si>
    <t>Elle éternue bruyamment à cause du rhume.</t>
  </si>
  <si>
    <t>Estornuda fuerte a causa del frío.</t>
  </si>
  <si>
    <t>vêtir</t>
  </si>
  <si>
    <t>Elle se vêt élégamment pour la soirée.</t>
  </si>
  <si>
    <t>Se viste elegantemente para la noche.</t>
  </si>
  <si>
    <t>faillir</t>
  </si>
  <si>
    <t>Nous faillirons à notre devoir si nous n'agissons pas maintenant.</t>
  </si>
  <si>
    <t>Fallaremos en nuestro deber si no actuamos ahora.</t>
  </si>
  <si>
    <t>compatir</t>
  </si>
  <si>
    <t>Ils compatissent avec ceux qui souffrent.</t>
  </si>
  <si>
    <t>Se solidarizan con los que sufren.</t>
  </si>
  <si>
    <t>dépecer</t>
  </si>
  <si>
    <t>Ils dépecent le gibier pour le préparer.</t>
  </si>
  <si>
    <t>Cortaron el juego para prepararlo.</t>
  </si>
  <si>
    <t>absoudre</t>
  </si>
  <si>
    <t>Le prêtre absout les péchés du confesseur.</t>
  </si>
  <si>
    <t>El sacerdote absuelve los pecados del confesor.</t>
  </si>
  <si>
    <t>assoupir</t>
  </si>
  <si>
    <t>Elle s'assoupit doucement au coin du feu.</t>
  </si>
  <si>
    <t>Se quedó dormida junto al fuego.</t>
  </si>
  <si>
    <t>accroire</t>
  </si>
  <si>
    <t>Il ne faut pas accroire tout ce qu'on lit sur Internet.</t>
  </si>
  <si>
    <t>No debes creer todo lo que lees en Internet.</t>
  </si>
  <si>
    <t>échoir</t>
  </si>
  <si>
    <t>La décision finale doit échoir à l'assemblée.</t>
  </si>
  <si>
    <t>La decisión final debe ser tomada por la asamblea.</t>
  </si>
  <si>
    <t>déchoir</t>
  </si>
  <si>
    <t>Il pourrait déchoir de son titre s'il ne se reprend pas.</t>
  </si>
  <si>
    <t>Podría perder su título si no actúa en conjunto.</t>
  </si>
  <si>
    <t>écrémer</t>
  </si>
  <si>
    <t>Elle écrème le lait pour obtenir de la crème fraîche.</t>
  </si>
  <si>
    <t>Bata la leche para obtener crème fraîche.</t>
  </si>
  <si>
    <t>comparaître</t>
  </si>
  <si>
    <t>Les témoins doivent comparaître devant le tribunal.</t>
  </si>
  <si>
    <t>Los testigos deben comparecer ante el tribunal.</t>
  </si>
  <si>
    <t>assaillir</t>
  </si>
  <si>
    <t>Les vagues assaillent la côte pendant la tempête.</t>
  </si>
  <si>
    <t>Las olas asaltan la costa durante la tormenta.</t>
  </si>
  <si>
    <t>venter</t>
  </si>
  <si>
    <t>Le vent venter fort à travers les montagnes.</t>
  </si>
  <si>
    <t>El viento sopla fuerte entre las montañas.</t>
  </si>
  <si>
    <t>douer</t>
  </si>
  <si>
    <t>Il est doué pour résoudre les problèmes mathématiques.</t>
  </si>
  <si>
    <t>Es bueno resolviendo problemas de matemáticas.</t>
  </si>
  <si>
    <t>braire</t>
  </si>
  <si>
    <t>L'âne braire bruyamment à l'aube.</t>
  </si>
  <si>
    <t>El burro rebuzna ruidosamente al amanecer.</t>
  </si>
  <si>
    <t>ouïr</t>
  </si>
  <si>
    <t>Ils ont ouï dire que le spectacle était incroyable.</t>
  </si>
  <si>
    <t>Escucharon que el espectáculo fue increíble.</t>
  </si>
  <si>
    <t>bruire</t>
  </si>
  <si>
    <t>Les feuilles bruirent dans le vent d'automne.</t>
  </si>
  <si>
    <t>Las hojas susurraban con el viento otoñal.</t>
  </si>
  <si>
    <t>sourdre</t>
  </si>
  <si>
    <t>L'eau pure sourd de la source.</t>
  </si>
  <si>
    <t>Del manantial brota agua pura.</t>
  </si>
  <si>
    <t>enclore</t>
  </si>
  <si>
    <t>Ils enclosent les moutons dans le pré.</t>
  </si>
  <si>
    <t>Encierran las ovejas en el prado.</t>
  </si>
  <si>
    <t>seoir</t>
  </si>
  <si>
    <t>Les couleurs seoir bien à la décoration intérieure.</t>
  </si>
  <si>
    <t>Los colores combinan bien con la decoración interior.</t>
  </si>
  <si>
    <t>s'abstenir</t>
  </si>
  <si>
    <t>Je m'abstiens de commenter sur ce sujet délicat.</t>
  </si>
  <si>
    <t>Me abstengo de comentar este delicado tema.</t>
  </si>
  <si>
    <t>se souvenir</t>
  </si>
  <si>
    <t>Elle se souvient avec émotion de son enfance.</t>
  </si>
  <si>
    <t>Recuerda su infancia con emoción.</t>
  </si>
  <si>
    <t>s'enfuir</t>
  </si>
  <si>
    <t>Ils s'enfuient de la maison en pleine nuit.</t>
  </si>
  <si>
    <t>Se escapan de la casa en mitad de la noche.</t>
  </si>
  <si>
    <t>s'ensuivre</t>
  </si>
  <si>
    <t>Les événements s'ensuivent rapidement après l'annonce.</t>
  </si>
  <si>
    <t>Los acontecimientos se suceden rápidamente después del anuncio.</t>
  </si>
  <si>
    <t>refuir</t>
  </si>
  <si>
    <t>Il refuse de refuir devant les difficultés.</t>
  </si>
  <si>
    <t>Se niega a huir de las dificultades.</t>
  </si>
  <si>
    <t>instrumenter</t>
  </si>
  <si>
    <t>Le groupe instrumente une nouvelle chanson.</t>
  </si>
  <si>
    <t>El grupo interpreta una nueva canción.</t>
  </si>
  <si>
    <t>clapir</t>
  </si>
  <si>
    <t>Les oiseaux clapirent joyeusement au printemps.</t>
  </si>
  <si>
    <t>Los pájaros cantan alegremente en primavera.</t>
  </si>
  <si>
    <t>clatir</t>
  </si>
  <si>
    <t>Le son des cloches clatit dans le village.</t>
  </si>
  <si>
    <t>El sonido de las campanas resuena por el pueblo.</t>
  </si>
  <si>
    <t>grener</t>
  </si>
  <si>
    <t>Les gouttes de pluie grener contre les fenêtres.</t>
  </si>
  <si>
    <t>Las gotas de lluvia golpean contra las ventanas.</t>
  </si>
  <si>
    <t>gléner</t>
  </si>
  <si>
    <t>Elle glène les informations essentielles avant la réunion.</t>
  </si>
  <si>
    <t>Ella recopila información esencial antes de la reunión.</t>
  </si>
  <si>
    <t>géner</t>
  </si>
  <si>
    <t>Ses vêtements génaient ses mouvements.</t>
  </si>
  <si>
    <t>Su ropa obstaculizaba sus movimientos.</t>
  </si>
  <si>
    <t>suiver</t>
  </si>
  <si>
    <t>Ils suivent le chemin tracé sur la carte.</t>
  </si>
  <si>
    <t>Siguen el camino marcado en el mapa.</t>
  </si>
  <si>
    <t>enlier</t>
  </si>
  <si>
    <t>Ils enlient les poutres pour renforcer la structure.</t>
  </si>
  <si>
    <t>Atan las vigas entre sí para reforzar la estructura.</t>
  </si>
  <si>
    <t>renter</t>
  </si>
  <si>
    <t>Il rentre à la maison après une longue journée.</t>
  </si>
  <si>
    <t>Llega a casa después de un largo día.</t>
  </si>
  <si>
    <t>avenir</t>
  </si>
  <si>
    <t>De grands changements doivent avenir dans l'entreprise.</t>
  </si>
  <si>
    <t>Se avecinan grandes cambios en la empresa.</t>
  </si>
  <si>
    <t>atteindre</t>
  </si>
  <si>
    <t>Ils espèrent atteindre leurs objectifs avant la fin de l'année.</t>
  </si>
  <si>
    <t>Esperan alcanzar sus objetivos antes de fin de año.</t>
  </si>
  <si>
    <t>former</t>
  </si>
  <si>
    <t>Elle forme une nouvelle génération de leaders.</t>
  </si>
  <si>
    <t>Ella capacita a una nueva generación de líderes.</t>
  </si>
  <si>
    <t>paroir</t>
  </si>
  <si>
    <t>Il paroît évident qu'il y ait un malentendu.</t>
  </si>
  <si>
    <t>Parece obvio que hay un malentendido.</t>
  </si>
  <si>
    <t>ariser</t>
  </si>
  <si>
    <t>Une nouvelle opportunité peut ariser à tout moment.</t>
  </si>
  <si>
    <t>Una nueva oportunidad puede surgir en cualquier momento.</t>
  </si>
  <si>
    <t>sérier</t>
  </si>
  <si>
    <t>Il faut sérier les informations pour une analyse approfondie.</t>
  </si>
  <si>
    <t>La información debe segregarse para un análisis en profundidad.</t>
  </si>
  <si>
    <t>liéger</t>
  </si>
  <si>
    <t>Elle liège les bouteilles pour les préserver.</t>
  </si>
  <si>
    <t>Tapa las botellas para conservarlas.</t>
  </si>
  <si>
    <t>soûler</t>
  </si>
  <si>
    <t>Trop de bruit peut rapidement soûler les voisins.</t>
  </si>
  <si>
    <t>Demasiado ruido puede emborrachar rápidamente a los vecinos.</t>
  </si>
  <si>
    <t>catastropher</t>
  </si>
  <si>
    <t>Ce film risque de catastropher le public.</t>
  </si>
  <si>
    <t>Esta película corre el riesgo de ser un desastre para el público.</t>
  </si>
  <si>
    <t>receper</t>
  </si>
  <si>
    <t>Ils recepent les arbres après la tempête.</t>
  </si>
  <si>
    <t>Recuperan los árboles después de la tormenta.</t>
  </si>
  <si>
    <t>recéper</t>
  </si>
  <si>
    <t>Il recèpe les mauvaises herbes dans le jardin.</t>
  </si>
  <si>
    <t>Corta las malas hierbas en el jardín.</t>
  </si>
  <si>
    <t>tortuer</t>
  </si>
  <si>
    <t>Il ne faut jamais tortuer les animaux.</t>
  </si>
  <si>
    <t>Nunca se debe torturar a los animales.</t>
  </si>
  <si>
    <t>journaliser</t>
  </si>
  <si>
    <t>Il faut journaliser chaque transaction minutieusement.</t>
  </si>
  <si>
    <t>Cada transacción debe registrarse cuidadosamente.</t>
  </si>
  <si>
    <t>chever</t>
  </si>
  <si>
    <t>Elle cheve ses cheveux courts pour l'été.</t>
  </si>
  <si>
    <t>Lleva el pelo corto para el verano.</t>
  </si>
  <si>
    <t>acérer</t>
  </si>
  <si>
    <t>Le couteau doit être acéré pour couper précisément.</t>
  </si>
  <si>
    <t>El cuchillo debe estar afilado para cortar con precisión.</t>
  </si>
  <si>
    <t>étiquer</t>
  </si>
  <si>
    <t>Elle étique les bocaux pour les identifier.</t>
  </si>
  <si>
    <t>Ella etiqueta los frascos para identificarlos.</t>
  </si>
  <si>
    <t>architecturer</t>
  </si>
  <si>
    <t>L'architecte doit architecturer un bâtiment innovant.</t>
  </si>
  <si>
    <t>El arquitecto debe diseñar un edificio innovador.</t>
  </si>
  <si>
    <t>renouver</t>
  </si>
  <si>
    <t>Ils renouvent leur contrat avec enthousiasme.</t>
  </si>
  <si>
    <t>Renuevan su contrato con ilusión.</t>
  </si>
  <si>
    <t>règlementer</t>
  </si>
  <si>
    <t>Le gouvernement règlemente cette industrie.</t>
  </si>
  <si>
    <t>El gobierno regula esta industria.</t>
  </si>
  <si>
    <t>discipliner</t>
  </si>
  <si>
    <t>Elle discipline ses enfants avec amour.</t>
  </si>
  <si>
    <t>Ella disciplina a sus hijos con amor.</t>
  </si>
  <si>
    <t>cloper</t>
  </si>
  <si>
    <t>Il aime cloper de temps en temps.</t>
  </si>
  <si>
    <t>Le gusta fumar de vez en cuando.</t>
  </si>
  <si>
    <t>jeuner</t>
  </si>
  <si>
    <t>Ils jeunent chaque année pendant le Ramadan.</t>
  </si>
  <si>
    <t>Ayunan todos los años durante el Ramadán.</t>
  </si>
  <si>
    <t>fixer</t>
  </si>
  <si>
    <t>Il fixe le cadre du tableau sur le mur.</t>
  </si>
  <si>
    <t>Fija el marco del cuadro en la pared.</t>
  </si>
  <si>
    <t>bléser</t>
  </si>
  <si>
    <t>Le joueur blessé doit se reposer.</t>
  </si>
  <si>
    <t>El jugador lesionado deberá descansar.</t>
  </si>
  <si>
    <t>nerver</t>
  </si>
  <si>
    <t>Les critiques peuvent parfois nerver.</t>
  </si>
  <si>
    <t>Las críticas a veces pueden resultar estresantes.</t>
  </si>
  <si>
    <t>crocher</t>
  </si>
  <si>
    <t>Il faut crocher le manteau sur le portemanteau.</t>
  </si>
  <si>
    <t>Tienes que colgar el abrigo en el perchero.</t>
  </si>
  <si>
    <t>aborder</t>
  </si>
  <si>
    <t>Il faut aborder ce sujet avec précaution.</t>
  </si>
  <si>
    <t>Este tema debe abordarse con cautela.</t>
  </si>
  <si>
    <t>sinuer</t>
  </si>
  <si>
    <t>La route sinue à travers la montagne.</t>
  </si>
  <si>
    <t>El camino serpentea por la montaña.</t>
  </si>
  <si>
    <t>transir</t>
  </si>
  <si>
    <t>Le froid transi les doigts en hiver.</t>
  </si>
  <si>
    <t>El frío hiela los dedos en invierno.</t>
  </si>
  <si>
    <t>reconcilier</t>
  </si>
  <si>
    <t>Elle a réussi à les réconcilier après la dispute.</t>
  </si>
  <si>
    <t>Ella logró reconciliarlos después de la discusión.</t>
  </si>
  <si>
    <t>contingenter</t>
  </si>
  <si>
    <t>Ils contingentent l'utilisation des ressources.</t>
  </si>
  <si>
    <t>Limitan el uso de recursos.</t>
  </si>
  <si>
    <t>candidater</t>
  </si>
  <si>
    <t>Elle candidatera pour le poste vacant.</t>
  </si>
  <si>
    <t>Ella postulará para el puesto vacante.</t>
  </si>
  <si>
    <t>substantiver</t>
  </si>
  <si>
    <t>Il cherche à substantiver ses arguments.</t>
  </si>
  <si>
    <t>Busca fundamentar sus argumentos.</t>
  </si>
  <si>
    <t>s'ingénier</t>
  </si>
  <si>
    <t>Il s'ingénie à trouver des solutions innovantes.</t>
  </si>
  <si>
    <t>Se esfuerza por encontrar soluciones innovadoras.</t>
  </si>
  <si>
    <t>remener</t>
  </si>
  <si>
    <t>Elle remène les enfants après l'école.</t>
  </si>
  <si>
    <t>Lleva a los niños a casa después de la escuela.</t>
  </si>
  <si>
    <t>emplir</t>
  </si>
  <si>
    <t>Ils remplissent le formulaire d'inscription.</t>
  </si>
  <si>
    <t>Rellenan el formulario de inscripción.</t>
  </si>
  <si>
    <t>contracturer</t>
  </si>
  <si>
    <t>Le contrat doit être contracturé avant la signature.</t>
  </si>
  <si>
    <t>El contrato debe concluirse antes de firmar.</t>
  </si>
  <si>
    <t>différentier</t>
  </si>
  <si>
    <t>Il faut différencier les différents types de contrats.</t>
  </si>
  <si>
    <t>Es necesario diferenciar entre los distintos tipos de contratos.</t>
  </si>
  <si>
    <t>chérir</t>
  </si>
  <si>
    <t>Elle chérit chaque moment passé avec sa famille.</t>
  </si>
  <si>
    <t>Ella aprecia cada momento que pasa con su familia.</t>
  </si>
  <si>
    <t>tester</t>
  </si>
  <si>
    <t>Ils testent le nouveau logiciel avant le lancement.</t>
  </si>
  <si>
    <t>Prueban el nuevo software antes del lanzamiento.</t>
  </si>
  <si>
    <t>incapaciter</t>
  </si>
  <si>
    <t>Le handicap peut parfois incapaciter une personne.</t>
  </si>
  <si>
    <t>La discapacidad a veces puede incapacitar a una persona.</t>
  </si>
  <si>
    <t>traduire</t>
  </si>
  <si>
    <t>Il faut traduire ce document en plusieurs langues.</t>
  </si>
  <si>
    <t>Este documento debe estar traducido a varios idiomas.</t>
  </si>
  <si>
    <t>revolutionner</t>
  </si>
  <si>
    <t>Cette invention a révolutionné l'industrie.</t>
  </si>
  <si>
    <t>Este invento revolucionó la industria.</t>
  </si>
  <si>
    <t>enverguer</t>
  </si>
  <si>
    <t>Le nouvel avion a une grande envergure.</t>
  </si>
  <si>
    <t>El nuevo avión tiene una gran envergadura.</t>
  </si>
  <si>
    <t>ouvrer</t>
  </si>
  <si>
    <t>Ils ouvrent une nouvelle filiale à l'étranger.</t>
  </si>
  <si>
    <t>Abren una nueva filial en el extranjero.</t>
  </si>
  <si>
    <t>étager</t>
  </si>
  <si>
    <t>Il faut étager les informations pour une meilleure compréhension.</t>
  </si>
  <si>
    <t>La información debe dividirse para una mejor comprensión.</t>
  </si>
  <si>
    <t>débâter</t>
  </si>
  <si>
    <t>Ils débâtent les termes du contrat.</t>
  </si>
  <si>
    <t>Discuten los términos del contrato.</t>
  </si>
  <si>
    <t>techniciser</t>
  </si>
  <si>
    <t>La technologie a technicisé de nombreux processus.</t>
  </si>
  <si>
    <t>La tecnología ha tecnificado muchos procesos.</t>
  </si>
  <si>
    <t>administrer</t>
  </si>
  <si>
    <t>Elle administre le bureau avec efficacité.</t>
  </si>
  <si>
    <t>Dirige la oficina de manera eficiente.</t>
  </si>
  <si>
    <t>débâtir</t>
  </si>
  <si>
    <t>Ils débâtissent l'ancien bâtiment pour en construire un nouveau.</t>
  </si>
  <si>
    <t>Están demoliendo el antiguo edificio para construir uno nuevo.</t>
  </si>
  <si>
    <t>ajuster</t>
  </si>
  <si>
    <t>Il ajuste les paramètres pour obtenir le meilleur résultat.</t>
  </si>
  <si>
    <t>Ajusta la configuración para obtener el mejor resultado.</t>
  </si>
  <si>
    <t>saurir</t>
  </si>
  <si>
    <t>Il saura quoi faire dans cette situation.</t>
  </si>
  <si>
    <t>Él sabrá qué hacer en esta situación.</t>
  </si>
  <si>
    <t>farter</t>
  </si>
  <si>
    <t>Elle faut les skis avant de descendre la piste.</t>
  </si>
  <si>
    <t>Necesitas tus esquís antes de bajar la pista.</t>
  </si>
  <si>
    <t>controverser</t>
  </si>
  <si>
    <t>Ils controversent souvent sur les sujets politiques.</t>
  </si>
  <si>
    <t>A menudo discuten sobre cuestiones políticas.</t>
  </si>
  <si>
    <t>meurtrir</t>
  </si>
  <si>
    <t>Le crime peut meurtrir une communauté entière.</t>
  </si>
  <si>
    <t>El crimen puede destruir una comunidad entera.</t>
  </si>
  <si>
    <t>réciproquer</t>
  </si>
  <si>
    <t>Ils réciproquent des sourires chaleureux.</t>
  </si>
  <si>
    <t>Ellos corresponden con cálidas sonrisas.</t>
  </si>
  <si>
    <t>pencher</t>
  </si>
  <si>
    <t>Il penche la tête pour mieux entendre.</t>
  </si>
  <si>
    <t>Inclina la cabeza para oír mejor.</t>
  </si>
  <si>
    <t>antagoniser</t>
  </si>
  <si>
    <t>Le conflit peut parfois antagoniser les gens.</t>
  </si>
  <si>
    <t>A veces, el conflicto puede provocar antagonismo entre las personas.</t>
  </si>
  <si>
    <t>encrer</t>
  </si>
  <si>
    <t>Il faut encrer les dessins pour les rendre permanents.</t>
  </si>
  <si>
    <t>Tienes que entintar los dibujos para que sean permanentes.</t>
  </si>
  <si>
    <t>insister</t>
  </si>
  <si>
    <t>Elle insiste sur l'importance de la ponctualité.</t>
  </si>
  <si>
    <t>Destaca la importancia de la puntualidad.</t>
  </si>
  <si>
    <t>petit-déjeuner</t>
  </si>
  <si>
    <t>Le petit-déjeuner est le repas le plus important de la journée.</t>
  </si>
  <si>
    <t>El desayuno es la comida más importante del día.</t>
  </si>
  <si>
    <t>exister</t>
  </si>
  <si>
    <t>Ils existent depuis plus de cent ans.</t>
  </si>
  <si>
    <t>Han existido desde hace más de cien años.</t>
  </si>
  <si>
    <t>graduer</t>
  </si>
  <si>
    <t>Il gradue chaque année avec de meilleurs résultats.</t>
  </si>
  <si>
    <t>Se gradúa cada año con mejores resultados.</t>
  </si>
  <si>
    <t>reporter</t>
  </si>
  <si>
    <t>Il doit reporter la réunion à demain.</t>
  </si>
  <si>
    <t>Tiene que posponer la reunión hasta mañana.</t>
  </si>
  <si>
    <t>calter</t>
  </si>
  <si>
    <t>Il calte ses mouvements pour éviter de faire du bruit.</t>
  </si>
  <si>
    <t>Calma sus movimientos para evitar hacer ruido.</t>
  </si>
  <si>
    <t>claper</t>
  </si>
  <si>
    <t>Le marteau clape sur le clou.</t>
  </si>
  <si>
    <t>El martillo da en el clavo.</t>
  </si>
  <si>
    <t>s'efforcer</t>
  </si>
  <si>
    <t>Il s'efforce toujours d'atteindre ses objectifs.</t>
  </si>
  <si>
    <t>Siempre se esfuerza por lograr sus objetivos.</t>
  </si>
  <si>
    <t>se désertifier</t>
  </si>
  <si>
    <t>La région se désertifie lentement à cause du climat.</t>
  </si>
  <si>
    <t>La región está desiertándose lentamente debido al clima.</t>
  </si>
  <si>
    <t>gréser</t>
  </si>
  <si>
    <t>Il faut gréser les rouages pour éviter l'usure.</t>
  </si>
  <si>
    <t>Los piñones deben estar preparados para evitar el desgaste.</t>
  </si>
  <si>
    <t>siniser</t>
  </si>
  <si>
    <t>Les routes sinisent avec la neige fondante.</t>
  </si>
  <si>
    <t>Las carreteras se están oscureciendo a causa del deshielo.</t>
  </si>
  <si>
    <t>stéréotyper</t>
  </si>
  <si>
    <t>Ce type de stéréotype peut être préjudiciable.</t>
  </si>
  <si>
    <t>Este tipo de estereotipos puede ser perjudicial.</t>
  </si>
  <si>
    <t>moiser</t>
  </si>
  <si>
    <t>Le foin doit être moisé avant d'être utilisé.</t>
  </si>
  <si>
    <t>El heno debe humedecerse antes de su uso.</t>
  </si>
  <si>
    <t>inhiber</t>
  </si>
  <si>
    <t>Le stress peut inhiber les performances.</t>
  </si>
  <si>
    <t>El estrés puede inhibir el rendimiento.</t>
  </si>
  <si>
    <t>ester</t>
  </si>
  <si>
    <t>Il est important d'ester clairement dans ce cas.</t>
  </si>
  <si>
    <t>Es importante ser claro en este caso.</t>
  </si>
  <si>
    <t>scanner</t>
  </si>
  <si>
    <t>Il doit scanner le document pour l'envoyer par email.</t>
  </si>
  <si>
    <t>Debe escanear el documento para enviarlo por correo electrónico.</t>
  </si>
  <si>
    <t>passager</t>
  </si>
  <si>
    <t>Le passager s'endort pendant le vol.</t>
  </si>
  <si>
    <t>El pasajero se queda dormido durante el vuelo.</t>
  </si>
  <si>
    <t>implémenter</t>
  </si>
  <si>
    <t>Ils implémentent un nouveau système de gestion.</t>
  </si>
  <si>
    <t>Están implementando un nuevo sistema de gestión.</t>
  </si>
  <si>
    <t>débarrasser</t>
  </si>
  <si>
    <t>Il faut débarrasser la maison des vieux meubles.</t>
  </si>
  <si>
    <t>Necesitas limpiar la casa de muebles viejos.</t>
  </si>
  <si>
    <t>répartir</t>
  </si>
  <si>
    <t>Ils répartissent les tâches équitablement.</t>
  </si>
  <si>
    <t>Distribuyen las tareas de manera justa.</t>
  </si>
  <si>
    <t>radiodiffuser</t>
  </si>
  <si>
    <t>Ils radiodiffusent l'interview en direct.</t>
  </si>
  <si>
    <t>Retransmitieron la entrevista en directo.</t>
  </si>
  <si>
    <t>discontinuer</t>
  </si>
  <si>
    <t>La société discontinuera ce produit l'année prochaine.</t>
  </si>
  <si>
    <t>La empresa descontinuará este producto el próximo año.</t>
  </si>
  <si>
    <t>reconstruire</t>
  </si>
  <si>
    <t>Ils reconstruisent la maison après l'incendie.</t>
  </si>
  <si>
    <t>Están reconstruyendo la casa después del incendio.</t>
  </si>
  <si>
    <t>épiner</t>
  </si>
  <si>
    <t>Elle épine les fleurs pour en faire un bouquet.</t>
  </si>
  <si>
    <t>Ella espina las flores para hacer un ramo.</t>
  </si>
  <si>
    <t>injecter</t>
  </si>
  <si>
    <t>Il injecte le vaccin dans le bras du patient.</t>
  </si>
  <si>
    <t>Inyecta la vacuna en el brazo del paciente.</t>
  </si>
  <si>
    <t>palmer</t>
  </si>
  <si>
    <t>Ils palment les murs pour éviter l'humidité.</t>
  </si>
  <si>
    <t>Protegen las paredes para evitar la humedad.</t>
  </si>
  <si>
    <t>twitter</t>
  </si>
  <si>
    <t>Il a l'habitude de twitter ses opinions politiques.</t>
  </si>
  <si>
    <t>Tiene la costumbre de tuitear sus opiniones políticas.</t>
  </si>
  <si>
    <t>recouvrir</t>
  </si>
  <si>
    <t>Elle recouvre le gâteau de glaçage.</t>
  </si>
  <si>
    <t>Cubre el pastel con glaseado.</t>
  </si>
  <si>
    <t>diaphragmer</t>
  </si>
  <si>
    <t>Il faut diaphragmer correctement l'appareil photo.</t>
  </si>
  <si>
    <t>Necesitas abrir la cámara correctamente.</t>
  </si>
  <si>
    <t>condoléancer</t>
  </si>
  <si>
    <t>Il condoléance la famille du défunt.</t>
  </si>
  <si>
    <t>Da el pésame a la familia del fallecido.</t>
  </si>
  <si>
    <t>contre-passer</t>
  </si>
  <si>
    <t>Elle contre-passe le chèque au guichet.</t>
  </si>
  <si>
    <t>Ella invierte el cheque en el mostrador.</t>
  </si>
  <si>
    <t>banquer</t>
  </si>
  <si>
    <t>Il banque dans cette institution depuis des années.</t>
  </si>
  <si>
    <t>Lleva años realizando operaciones bancarias en esta institución.</t>
  </si>
  <si>
    <t>exonder</t>
  </si>
  <si>
    <t>Il faut exonder les terres après la crue.</t>
  </si>
  <si>
    <t>El terreno debe ser excavado después de la inundación.</t>
  </si>
  <si>
    <t>ruiler</t>
  </si>
  <si>
    <t>Les ruisseaux ruilent après les fortes pluies.</t>
  </si>
  <si>
    <t>Los arroyos corren después de fuertes lluvias.</t>
  </si>
  <si>
    <t>plaidoyer</t>
  </si>
  <si>
    <t>Il faut plaidoyer pour une réforme des politiques.</t>
  </si>
  <si>
    <t>Necesitamos abogar por una reforma política.</t>
  </si>
  <si>
    <t>fraser</t>
  </si>
  <si>
    <t>Ils frasent la surface pour l'aplanir.</t>
  </si>
  <si>
    <t>Muelen la superficie para aplanarla.</t>
  </si>
  <si>
    <t>recommencer</t>
  </si>
  <si>
    <t>Ils recommencent le projet depuis le début.</t>
  </si>
  <si>
    <t>Comienzan el proyecto desde el principio.</t>
  </si>
  <si>
    <t>pétitionner</t>
  </si>
  <si>
    <t>Ils pétitionnent contre la construction de l'autoroute.</t>
  </si>
  <si>
    <t>Están haciendo una petición contra la construcción de la carretera.</t>
  </si>
  <si>
    <t>casser</t>
  </si>
  <si>
    <t>Il ne faut pas casser ce fragile objet.</t>
  </si>
  <si>
    <t>No debes romper este frágil objeto.</t>
  </si>
  <si>
    <t>fabuler</t>
  </si>
  <si>
    <t>Il aime fabuler des histoires incroyables.</t>
  </si>
  <si>
    <t>Le encanta inventar historias increíbles.</t>
  </si>
  <si>
    <t>historier</t>
  </si>
  <si>
    <t>Il historie les événements avec précision.</t>
  </si>
  <si>
    <t>Él narra los acontecimientos con precisión.</t>
  </si>
  <si>
    <t>harper</t>
  </si>
  <si>
    <t>Il harpe sur la même corde depuis des heures.</t>
  </si>
  <si>
    <t>Lleva horas tocando la misma cuerda.</t>
  </si>
  <si>
    <t>démunir</t>
  </si>
  <si>
    <t>La pauvreté les a démuni de leurs biens.</t>
  </si>
  <si>
    <t>La pobreza los privó de sus posesiones.</t>
  </si>
  <si>
    <t>pénétrer</t>
  </si>
  <si>
    <t>Il réussit à pénétrer dans le système informatique.</t>
  </si>
  <si>
    <t>Logró penetrar el sistema informático.</t>
  </si>
  <si>
    <t>conster</t>
  </si>
  <si>
    <t>Il conste que les documents sont complets.</t>
  </si>
  <si>
    <t>Se nota que los documentos están completos.</t>
  </si>
  <si>
    <t>inspecter</t>
  </si>
  <si>
    <t>Elle inspecte minutieusement chaque pièce.</t>
  </si>
  <si>
    <t>Ella inspecciona cuidadosamente cada habitación.</t>
  </si>
  <si>
    <t>bouquer</t>
  </si>
  <si>
    <t>Ils bouquent le cheval pour la compétition.</t>
  </si>
  <si>
    <t>Abrochan el caballo para la competición.</t>
  </si>
  <si>
    <t>originer</t>
  </si>
  <si>
    <t>Ce problème origine d'une mauvaise gestion.</t>
  </si>
  <si>
    <t>Este problema se origina por una mala gestión.</t>
  </si>
  <si>
    <t>instituer</t>
  </si>
  <si>
    <t>Ils instituent de nouvelles règles pour améliorer la sécurité.</t>
  </si>
  <si>
    <t>Están instituyendo nuevas reglas para mejorar la seguridad.</t>
  </si>
  <si>
    <t>pocher</t>
  </si>
  <si>
    <t>Elle poche les fruits pour en faire une compote.</t>
  </si>
  <si>
    <t>Escalfa la fruta para hacer una compota.</t>
  </si>
  <si>
    <t>stérer</t>
  </si>
  <si>
    <t>Il stère le bois pour l'hiver.</t>
  </si>
  <si>
    <t>Esteriliza la madera para el invierno.</t>
  </si>
  <si>
    <t>repousser</t>
  </si>
  <si>
    <t>Ils repoussent la date de la réunion.</t>
  </si>
  <si>
    <t>Posponen fecha de reunión.</t>
  </si>
  <si>
    <t>entretoiser</t>
  </si>
  <si>
    <t>Il entretoise la structure pour la solidifier.</t>
  </si>
  <si>
    <t>Refuerza la estructura para solidificarla.</t>
  </si>
  <si>
    <t>pivoter</t>
  </si>
  <si>
    <t>Le tableau peut pivoter pour être vu de tous les angles.</t>
  </si>
  <si>
    <t>El tablero puede girar para ser visto desde todos los ángulos.</t>
  </si>
  <si>
    <t>sur-aller</t>
  </si>
  <si>
    <t>Voy a proporcionar respuestas con respecto a tres ámbitos concretos.</t>
  </si>
  <si>
    <t>Procurar respetar nuestras ambiciones concretas.</t>
  </si>
  <si>
    <t>fédéraliser</t>
  </si>
  <si>
    <t>Ils fédéralisent les lois pour une application uniforme.</t>
  </si>
  <si>
    <t>Federalizan las leyes para su aplicación uniforme.</t>
  </si>
  <si>
    <t>moduler</t>
  </si>
  <si>
    <t>Elle module sa voix pour le théâtre.</t>
  </si>
  <si>
    <t>Modula su voz para el teatro.</t>
  </si>
  <si>
    <t>diner</t>
  </si>
  <si>
    <t>Ils dînent en famille tous les soirs.</t>
  </si>
  <si>
    <t>Cenan en familia todas las noches.</t>
  </si>
  <si>
    <t>programmer</t>
  </si>
  <si>
    <t>Il programme un nouvel algorithme.</t>
  </si>
  <si>
    <t>Programa un nuevo algoritmo.</t>
  </si>
  <si>
    <t>veiner</t>
  </si>
  <si>
    <t>Elle veine le marbre pour en révéler la beauté.</t>
  </si>
  <si>
    <t>Veta el mármol para revelar su belleza.</t>
  </si>
  <si>
    <t>usiner</t>
  </si>
  <si>
    <t>Ils usinent des pièces mécaniques.</t>
  </si>
  <si>
    <t>Mecanizan piezas mecánicas.</t>
  </si>
  <si>
    <t>opter</t>
  </si>
  <si>
    <t>Il opte pour la solution la plus économique.</t>
  </si>
  <si>
    <t>Opta por la solución más económica.</t>
  </si>
  <si>
    <t>couder</t>
  </si>
  <si>
    <t>Elle coude le tuyau pour l'installer.</t>
  </si>
  <si>
    <t>Dobla el tubo para instalarlo.</t>
  </si>
  <si>
    <t>antiparasiter</t>
  </si>
  <si>
    <t>Il antiparasite son ordinateur régulièrement.</t>
  </si>
  <si>
    <t>Depura su computadora con regularidad.</t>
  </si>
  <si>
    <t>designer</t>
  </si>
  <si>
    <t>Ils designent un nouveau logo pour l'entreprise.</t>
  </si>
  <si>
    <t>Diseñan un nuevo logo para la empresa.</t>
  </si>
  <si>
    <t>poster</t>
  </si>
  <si>
    <t>Elle poste une lettre importante.</t>
  </si>
  <si>
    <t>Ella publica una carta importante.</t>
  </si>
  <si>
    <t>repartir</t>
  </si>
  <si>
    <t>Ils repartent en vacances chaque année.</t>
  </si>
  <si>
    <t>Se van de vacaciones todos los años.</t>
  </si>
  <si>
    <t>cousiner</t>
  </si>
  <si>
    <t>Elle cuisine un délicieux plat français.</t>
  </si>
  <si>
    <t>Ella cocina un delicioso plato francés.</t>
  </si>
  <si>
    <t>mollir</t>
  </si>
  <si>
    <t>Le beurre mollit à température ambiante.</t>
  </si>
  <si>
    <t>La mantequilla se ablanda a temperatura ambiente.</t>
  </si>
  <si>
    <t>briquer</t>
  </si>
  <si>
    <t>Il brique les chaussures pour les faire briller.</t>
  </si>
  <si>
    <t>Bloquea los zapatos para hacerlos brillar.</t>
  </si>
  <si>
    <t>reconsolider</t>
  </si>
  <si>
    <t>Ils reconsolident le mur après les tremblements de terre.</t>
  </si>
  <si>
    <t>Reconsolidan el muro después de los terremotos.</t>
  </si>
  <si>
    <t>nécessiter</t>
  </si>
  <si>
    <t>Ce projet nécessite beaucoup de main-d'œuvre.</t>
  </si>
  <si>
    <t>Este proyecto requiere mucha mano de obra.</t>
  </si>
  <si>
    <t>sophistiquer</t>
  </si>
  <si>
    <t>Elle sophistique ses arguments pour convaincre.</t>
  </si>
  <si>
    <t>Ella afina sus argumentos para convencer.</t>
  </si>
  <si>
    <t>façonner</t>
  </si>
  <si>
    <t>Ils façonnent l'argile pour en faire des pots.</t>
  </si>
  <si>
    <t>Le dan forma a vasijas con arcilla.</t>
  </si>
  <si>
    <t>bituminer</t>
  </si>
  <si>
    <t>Il bitume la route pour la rendre plus résistante.</t>
  </si>
  <si>
    <t>Asfalta el camino para hacerlo más resistente.</t>
  </si>
  <si>
    <t>capter</t>
  </si>
  <si>
    <t>Ils captent les ondes radio.</t>
  </si>
  <si>
    <t>Captan ondas de radio.</t>
  </si>
  <si>
    <t>emboucher</t>
  </si>
  <si>
    <t>Il embouche la trompette pour jouer.</t>
  </si>
  <si>
    <t>Mueve la trompeta para tocar.</t>
  </si>
  <si>
    <t>documenter</t>
  </si>
  <si>
    <t>Ils documentent chaque étape du processus.</t>
  </si>
  <si>
    <t>Documentan cada paso del proceso.</t>
  </si>
  <si>
    <t>reconstituer</t>
  </si>
  <si>
    <t>Elle reconstitue le puzzle en un temps record.</t>
  </si>
  <si>
    <t>Ella arma el rompecabezas en un tiempo récord.</t>
  </si>
  <si>
    <t>convier</t>
  </si>
  <si>
    <t>Ils convient les invités à la réception.</t>
  </si>
  <si>
    <t>Se adaptan a los invitados en la recepción.</t>
  </si>
  <si>
    <t>fleuir</t>
  </si>
  <si>
    <t>Les fleurs fleurissent au printemps.</t>
  </si>
  <si>
    <t>Las flores florecen en primavera.</t>
  </si>
  <si>
    <t>purifier</t>
  </si>
  <si>
    <t>Il purifie l'eau avec un filtre.</t>
  </si>
  <si>
    <t>Purifica el agua con un filtro.</t>
  </si>
  <si>
    <t>redonner</t>
  </si>
  <si>
    <t>Ils redonnent espoir aux nécessiteux.</t>
  </si>
  <si>
    <t>Dan esperanza a los necesitados.</t>
  </si>
  <si>
    <t>légiférer</t>
  </si>
  <si>
    <t>Elle légifère sur les droits des animaux.</t>
  </si>
  <si>
    <t>Legisla sobre los derechos de los animales.</t>
  </si>
  <si>
    <t>sous-charger</t>
  </si>
  <si>
    <t>Il sous-charge le transformateur pour éviter les surtensions.</t>
  </si>
  <si>
    <t>Subcarga el transformador para evitar sobretensiones.</t>
  </si>
  <si>
    <t>téléphoner</t>
  </si>
  <si>
    <t>Elle téléphone à ses amis pour les inviter.</t>
  </si>
  <si>
    <t>Llama a sus amigos para invitarlos.</t>
  </si>
  <si>
    <t>côcher</t>
  </si>
  <si>
    <t>Ils cochent les cases sur le formulaire.</t>
  </si>
  <si>
    <t>Marcan las casillas del formulario.</t>
  </si>
  <si>
    <t>tartir</t>
  </si>
  <si>
    <t>Le lait tarti lorsqu'il est laissé trop longtemps.</t>
  </si>
  <si>
    <t>La leche se pone rancia cuando se deja demasiado tiempo.</t>
  </si>
  <si>
    <t>fasier</t>
  </si>
  <si>
    <t>Il faut fasier le processus de production.</t>
  </si>
  <si>
    <t>Es necesario simplificar el proceso de producción.</t>
  </si>
  <si>
    <t>gourmer</t>
  </si>
  <si>
    <t>Elle gourme le chien pour son mauvais comportement.</t>
  </si>
  <si>
    <t>Ella trata al perro por su mal comportamiento.</t>
  </si>
  <si>
    <t>pallier</t>
  </si>
  <si>
    <t>Ils pallient les carences avec des compléments alimentaires.</t>
  </si>
  <si>
    <t>Compensan las carencias con complementos alimenticios.</t>
  </si>
  <si>
    <t>lamper</t>
  </si>
  <si>
    <t>Il lampe son verre d'un trait.</t>
  </si>
  <si>
    <t>Bebe su vaso de un trago.</t>
  </si>
  <si>
    <t>englober</t>
  </si>
  <si>
    <t>Ils englobent tous les aspects du projet.</t>
  </si>
  <si>
    <t>Abarcan todos los aspectos del proyecto.</t>
  </si>
  <si>
    <t>coder</t>
  </si>
  <si>
    <t>Il code un nouveau logiciel informatique.</t>
  </si>
  <si>
    <t>Codifica nuevos programas informáticos.</t>
  </si>
  <si>
    <t>rétroéclairer</t>
  </si>
  <si>
    <t>Elle rétroéclaire le clavier pour une meilleure visibilité.</t>
  </si>
  <si>
    <t>Retroilumina el teclado para una mejor visibilidad.</t>
  </si>
  <si>
    <t>amender</t>
  </si>
  <si>
    <t>Ils amendent la constitution pour l'adapter aux nouvelles réalités.</t>
  </si>
  <si>
    <t>Modifican la constitución para adaptarla a las nuevas realidades.</t>
  </si>
  <si>
    <t>instruire</t>
  </si>
  <si>
    <t>Il instruit ses élèves avec passion.</t>
  </si>
  <si>
    <t>Enseña a sus alumnos con pasión.</t>
  </si>
  <si>
    <t>expérimenter</t>
  </si>
  <si>
    <t>Ils expérimentent de nouvelles méthodes.</t>
  </si>
  <si>
    <t>Están experimentando con nuevos métodos.</t>
  </si>
  <si>
    <t>visionner</t>
  </si>
  <si>
    <t>Elle visionne le film avant sa sortie en salle.</t>
  </si>
  <si>
    <t>Ella ve la película antes de su estreno en cines.</t>
  </si>
  <si>
    <t>sous-licencer</t>
  </si>
  <si>
    <t>Ils sous-licencent les droits d'utilisation du logiciel.</t>
  </si>
  <si>
    <t>Sublicencian los derechos de uso del software.</t>
  </si>
  <si>
    <t>piéter</t>
  </si>
  <si>
    <t>Il piète le sol en signe de frustration.</t>
  </si>
  <si>
    <t>Patea el suelo con frustración.</t>
  </si>
  <si>
    <t>chronométrer</t>
  </si>
  <si>
    <t>Ils chronomètrent la course avec précision.</t>
  </si>
  <si>
    <t>Calculan el tiempo de la carrera con precisión.</t>
  </si>
  <si>
    <t>conquérir</t>
  </si>
  <si>
    <t>Elle conquiert de nouveaux marchés à l'international.</t>
  </si>
  <si>
    <t>Está conquistando nuevos mercados internacionales.</t>
  </si>
  <si>
    <t>graver</t>
  </si>
  <si>
    <t>Ils gravent leurs initiales sur l'arbre.</t>
  </si>
  <si>
    <t>Tallan sus iniciales en el árbol.</t>
  </si>
  <si>
    <t>sous-payer</t>
  </si>
  <si>
    <t>Il sous-paye ses employés, ce qui cause des tensions.</t>
  </si>
  <si>
    <t>Paga mal a sus empleados, lo que genera tensión.</t>
  </si>
  <si>
    <t>encadrer</t>
  </si>
  <si>
    <t>Ils encadrent les jeunes sportifs pour les aider à progresser.</t>
  </si>
  <si>
    <t>Supervisan a los atletas jóvenes para ayudarlos a progresar.</t>
  </si>
  <si>
    <t>confondre</t>
  </si>
  <si>
    <t>Ne pas confondre vitesse et précipitation.</t>
  </si>
  <si>
    <t>No confundas velocidad con prisa.</t>
  </si>
  <si>
    <t>incrémenter</t>
  </si>
  <si>
    <t>Ils incrémentent le nombre d'utilisateurs chaque mois.</t>
  </si>
  <si>
    <t>Incrementan el número de usuarios cada mes.</t>
  </si>
  <si>
    <t>syndicaliser</t>
  </si>
  <si>
    <t>Il syndicalise les travailleurs pour défendre leurs droits.</t>
  </si>
  <si>
    <t>Organizó a los trabajadores para defender sus derechos.</t>
  </si>
  <si>
    <t>plonger</t>
  </si>
  <si>
    <t>Elle plonge dans l'eau pour nager.</t>
  </si>
  <si>
    <t>Se sumerge en el agua para nadar.</t>
  </si>
  <si>
    <t>sembler</t>
  </si>
  <si>
    <t>Il semble qu'il y ait un malentendu.</t>
  </si>
  <si>
    <t>Parece haber un malentendido.</t>
  </si>
  <si>
    <t>axer</t>
  </si>
  <si>
    <t>Ils axent leur stratégie sur l'innovation.</t>
  </si>
  <si>
    <t>Centra su estrategia en la innovación.</t>
  </si>
  <si>
    <t>recharger</t>
  </si>
  <si>
    <t>Il recharge son téléphone avant de partir.</t>
  </si>
  <si>
    <t>Carga su teléfono antes de irse.</t>
  </si>
  <si>
    <t>décrocher</t>
  </si>
  <si>
    <t>Elle décroche le téléphone dès la première sonnerie.</t>
  </si>
  <si>
    <t>Ella levanta el teléfono al primer timbre.</t>
  </si>
  <si>
    <t>savourer</t>
  </si>
  <si>
    <t>Ils savourent chaque bouchée de leur repas.</t>
  </si>
  <si>
    <t>Saborean cada bocado de su comida.</t>
  </si>
  <si>
    <t>ligner</t>
  </si>
  <si>
    <t>Elle ligne le papier pour l'impression.</t>
  </si>
  <si>
    <t>Forra el papel para imprimir.</t>
  </si>
  <si>
    <t>cliquer</t>
  </si>
  <si>
    <t>Il clique sur le lien pour accéder au site web.</t>
  </si>
  <si>
    <t>Hace clic en el enlace para acceder al sitio web.</t>
  </si>
  <si>
    <t>magnétoscoper</t>
  </si>
  <si>
    <t>Ils magnétoscopent l'interview pour l'archive.</t>
  </si>
  <si>
    <t>Graban en vídeo la entrevista para el archivo.</t>
  </si>
  <si>
    <t>authentifier</t>
  </si>
  <si>
    <t>Elle authentifie les documents officiels.</t>
  </si>
  <si>
    <t>Ella autentifica documentos oficiales.</t>
  </si>
  <si>
    <t>impressionner</t>
  </si>
  <si>
    <t>Il impressionne tout le monde avec ses talents.</t>
  </si>
  <si>
    <t>Impresiona a todos con su talento.</t>
  </si>
  <si>
    <t>dominer</t>
  </si>
  <si>
    <t>Ils dominent le marché avec leurs produits.</t>
  </si>
  <si>
    <t>Dominan el mercado con sus productos.</t>
  </si>
  <si>
    <t>débloquer</t>
  </si>
  <si>
    <t>Il débloque la porte avec la clé.</t>
  </si>
  <si>
    <t>Abre la puerta con la llave.</t>
  </si>
  <si>
    <t>saper</t>
  </si>
  <si>
    <t>Ils sapent l'autorité de leur supérieur.</t>
  </si>
  <si>
    <t>Socavan la autoridad de su superior.</t>
  </si>
  <si>
    <t>assigner</t>
  </si>
  <si>
    <t>Elle assigne les tâches à chacun.</t>
  </si>
  <si>
    <t>Ella asigna tareas a todos.</t>
  </si>
  <si>
    <t>reconsidérer</t>
  </si>
  <si>
    <t>Ils reconsidèrent leur stratégie après l'échec.</t>
  </si>
  <si>
    <t>Reconsideran su estrategia después del fracaso.</t>
  </si>
  <si>
    <t>heurter</t>
  </si>
  <si>
    <t>La voiture heurte violemment le trottoir.</t>
  </si>
  <si>
    <t>El coche choca violentamente contra la acera.</t>
  </si>
  <si>
    <t>nantir</t>
  </si>
  <si>
    <t>Ils nantissent la propriété pour obtenir un prêt.</t>
  </si>
  <si>
    <t>Pone en prenda la propiedad para obtener un préstamo.</t>
  </si>
  <si>
    <t>brancher</t>
  </si>
  <si>
    <t>Il branche l'ordinateur portable à la prise électrique.</t>
  </si>
  <si>
    <t>Enchufa el portátil a la toma de corriente.</t>
  </si>
  <si>
    <t>transposer</t>
  </si>
  <si>
    <t>Ils transposent la chanson dans une autre tonalité.</t>
  </si>
  <si>
    <t>Transponen la canción a otra tonalidad.</t>
  </si>
  <si>
    <t>réintégrer</t>
  </si>
  <si>
    <t>Ils réintègrent l'employé après sa suspension.</t>
  </si>
  <si>
    <t>Reincorporan al empleado tras su suspensión.</t>
  </si>
  <si>
    <t>trôner</t>
  </si>
  <si>
    <t>Elle trône sur son trône avec élégance.</t>
  </si>
  <si>
    <t>Se sienta en su trono con elegancia.</t>
  </si>
  <si>
    <t>certifier</t>
  </si>
  <si>
    <t>Il certifie les produits conformes aux normes.</t>
  </si>
  <si>
    <t>Certifica productos que cumplen con las normas.</t>
  </si>
  <si>
    <t>plaindre</t>
  </si>
  <si>
    <t>Elle plaint le sort des plus démunis.</t>
  </si>
  <si>
    <t>Se compadece del destino de los más desfavorecidos.</t>
  </si>
  <si>
    <t>photographier</t>
  </si>
  <si>
    <t>Il photographie les paysages lors de son voyage.</t>
  </si>
  <si>
    <t>Fotografía los paisajes durante su viaje.</t>
  </si>
  <si>
    <t>puiser</t>
  </si>
  <si>
    <t>Ils puisent de l'eau du puits.</t>
  </si>
  <si>
    <t>Sacan agua del pozo.</t>
  </si>
  <si>
    <t>résiner</t>
  </si>
  <si>
    <t>Il faut résiner le bois pour le protéger.</t>
  </si>
  <si>
    <t>La madera debe estar resinada para protegerla.</t>
  </si>
  <si>
    <t>situer</t>
  </si>
  <si>
    <t>Elle situe l'action dans un cadre historique.</t>
  </si>
  <si>
    <t>Sitúa la acción en un marco histórico.</t>
  </si>
  <si>
    <t>décorer</t>
  </si>
  <si>
    <t>Ils décorent la maison pour les fêtes de fin d'année.</t>
  </si>
  <si>
    <t>Decoran la casa para las fiestas de fin de año.</t>
  </si>
  <si>
    <t>cocher</t>
  </si>
  <si>
    <t>Ils cochent la case "accepter les conditions générales".</t>
  </si>
  <si>
    <t>Marcan la casilla “aceptar términos y condiciones”.</t>
  </si>
  <si>
    <t>regagner</t>
  </si>
  <si>
    <t>Il regagne sa chambre après une longue journée.</t>
  </si>
  <si>
    <t>Regresa a su habitación después de un largo día.</t>
  </si>
  <si>
    <t>décoller</t>
  </si>
  <si>
    <t>Elle décolle en direction de Paris.</t>
  </si>
  <si>
    <t>Ella parte hacia París.</t>
  </si>
  <si>
    <t>sous-alimenter</t>
  </si>
  <si>
    <t>Il sous-alimente le moteur pour économiser du carburant.</t>
  </si>
  <si>
    <t>Alimenta insuficientemente el motor para ahorrar combustible.</t>
  </si>
  <si>
    <t>héberger</t>
  </si>
  <si>
    <t>Ils hébergent des réfugiés dans leur maison.</t>
  </si>
  <si>
    <t>Están albergando refugiados en su casa.</t>
  </si>
  <si>
    <t>étoffer</t>
  </si>
  <si>
    <t>Il étoffe son discours avec des exemples concrets.</t>
  </si>
  <si>
    <t>Apoya su discurso con ejemplos concretos.</t>
  </si>
  <si>
    <t>cafeter</t>
  </si>
  <si>
    <t>Il cafète avec ses collègues pendant la pause déjeuner.</t>
  </si>
  <si>
    <t>Toma café con sus compañeros durante la pausa del almuerzo.</t>
  </si>
  <si>
    <t>réorienter</t>
  </si>
  <si>
    <t>Elle réoriente sa carrière vers l'enseignement.</t>
  </si>
  <si>
    <t>Reorientó su carrera hacia la docencia.</t>
  </si>
  <si>
    <t>étourdir</t>
  </si>
  <si>
    <t>Le bruit assourdissant l'étourdit.</t>
  </si>
  <si>
    <t>El ruido ensordecedor lo dejó atónito.</t>
  </si>
  <si>
    <t>apercevoir</t>
  </si>
  <si>
    <t>Ils aperçoivent un cerf dans la forêt.</t>
  </si>
  <si>
    <t>Ven un ciervo en el bosque.</t>
  </si>
  <si>
    <t>rincer</t>
  </si>
  <si>
    <t>Il rince la vaisselle après le dîner.</t>
  </si>
  <si>
    <t>Enjuaga los platos después de cenar.</t>
  </si>
  <si>
    <t>recréer</t>
  </si>
  <si>
    <t>Ils recréent l'ambiance des années 80 dans leur soirée.</t>
  </si>
  <si>
    <t>Recrean en su velada el ambiente de los años 80.</t>
  </si>
  <si>
    <t>assimiler</t>
  </si>
  <si>
    <t>Elle assimile rapidement les nouvelles informations.</t>
  </si>
  <si>
    <t>Asimila rápidamente nueva información.</t>
  </si>
  <si>
    <t>dégeler</t>
  </si>
  <si>
    <t>Il faut dégeler les légumes avant de les cuire.</t>
  </si>
  <si>
    <t>Las verduras deben descongelarse antes de cocinarlas.</t>
  </si>
  <si>
    <t>réutiliser</t>
  </si>
  <si>
    <t>Ils réutilisent les matériaux recyclables pour construire des meubles.</t>
  </si>
  <si>
    <t>Reutilizan materiales reciclables para construir muebles.</t>
  </si>
  <si>
    <t>animer</t>
  </si>
  <si>
    <t>Ils animent la réunion avec des présentations dynamiques.</t>
  </si>
  <si>
    <t>Amenizan la reunión con presentaciones dinámicas.</t>
  </si>
  <si>
    <t>repasser</t>
  </si>
  <si>
    <t>Elle repasse ses chemises le dimanche après-midi.</t>
  </si>
  <si>
    <t>Plancha sus camisas el domingo por la tarde.</t>
  </si>
  <si>
    <t>pointer</t>
  </si>
  <si>
    <t>Il pointe du doigt l'erreur dans le rapport.</t>
  </si>
  <si>
    <t>Señala el error en el informe.</t>
  </si>
  <si>
    <t>facturer</t>
  </si>
  <si>
    <t>Le magasin lui facture les articles achetés.</t>
  </si>
  <si>
    <t>La tienda le factura los artículos comprados.</t>
  </si>
  <si>
    <t>mouler</t>
  </si>
  <si>
    <t>Ils mouleront le métal pour former une pièce unique.</t>
  </si>
  <si>
    <t>Moldearán el metal para formar una pieza única.</t>
  </si>
  <si>
    <t>réorganiser</t>
  </si>
  <si>
    <t>Elle réorganise son emploi du temps pour inclure plus de temps libre.</t>
  </si>
  <si>
    <t>Reorganiza su agenda para incluir más tiempo libre.</t>
  </si>
  <si>
    <t>croiser</t>
  </si>
  <si>
    <t>Ils se croisent souvent dans le quartier.</t>
  </si>
  <si>
    <t>A menudo se encuentran en el barrio.</t>
  </si>
  <si>
    <t>subventionner</t>
  </si>
  <si>
    <t>Le gouvernement subventionne les projets de recherche.</t>
  </si>
  <si>
    <t>El gobierno subsidia proyectos de investigación.</t>
  </si>
  <si>
    <t>outre-passer</t>
  </si>
  <si>
    <t>Il outre-passe les règles établies pour atteindre ses objectifs.</t>
  </si>
  <si>
    <t>Va más allá de las reglas establecidas para lograr sus objetivos.</t>
  </si>
  <si>
    <t>défier</t>
  </si>
  <si>
    <t>Elle défie les attentes en réussissant contre toute attente.</t>
  </si>
  <si>
    <t>Ella desafía las expectativas al triunfar contra todo pronóstico.</t>
  </si>
  <si>
    <t>ôter</t>
  </si>
  <si>
    <t>Il ôte ses chaussures avant d'entrer dans la maison.</t>
  </si>
  <si>
    <t>Se quita los zapatos antes de entrar a la casa.</t>
  </si>
  <si>
    <t>assassiner</t>
  </si>
  <si>
    <t>Le crime semble être un assassinat prémédité.</t>
  </si>
  <si>
    <t>El crimen parece ser un asesinato premeditado.</t>
  </si>
  <si>
    <t>mériter</t>
  </si>
  <si>
    <t>Elle mérite une récompense pour ses efforts.</t>
  </si>
  <si>
    <t>Ella merece una recompensa por sus esfuerzos.</t>
  </si>
  <si>
    <t>geler</t>
  </si>
  <si>
    <t>L'eau gèle en hiver.</t>
  </si>
  <si>
    <t>El agua se congela en invierno.</t>
  </si>
  <si>
    <t>démonter</t>
  </si>
  <si>
    <t>Ils démontent la vieille machine pour la réparer.</t>
  </si>
  <si>
    <t>Desmontan la vieja máquina para repararla.</t>
  </si>
  <si>
    <t>interférer</t>
  </si>
  <si>
    <t>Ne laissez pas les émotions interférer avec votre jugement.</t>
  </si>
  <si>
    <t>No dejes que las emociones interfieran con tu juicio.</t>
  </si>
  <si>
    <t>amortir</t>
  </si>
  <si>
    <t>Il amortit le choc en tombant sur le tapis.</t>
  </si>
  <si>
    <t>Él absorbió el impacto cayendo sobre la alfombra.</t>
  </si>
  <si>
    <t>ressembler</t>
  </si>
  <si>
    <t>Elle ressemble beaucoup à sa sœur jumelle.</t>
  </si>
  <si>
    <t>Se parece mucho a su hermana gemela.</t>
  </si>
  <si>
    <t>commémorer</t>
  </si>
  <si>
    <t>Nous commémorons la journée nationale du souvenir.</t>
  </si>
  <si>
    <t>Conmemoramos el Día Nacional del Recuerdo.</t>
  </si>
  <si>
    <t>distraire</t>
  </si>
  <si>
    <t>Le spectacle distrayait les enfants pendant des heures.</t>
  </si>
  <si>
    <t>El espectáculo entretuvo a los niños durante horas.</t>
  </si>
  <si>
    <t>substituer</t>
  </si>
  <si>
    <t>Ils substituent le sucre par du miel dans la recette.</t>
  </si>
  <si>
    <t>Sustituyen el azúcar por miel en la receta.</t>
  </si>
  <si>
    <t>défaire</t>
  </si>
  <si>
    <t>Il défait le nœud pour libérer le paquet.</t>
  </si>
  <si>
    <t>Desata el nudo para soltar el bulto.</t>
  </si>
  <si>
    <t>épincer</t>
  </si>
  <si>
    <t>Elle pince le bébé pour vérifier s'il est réveillé.</t>
  </si>
  <si>
    <t>Pellizca al bebé para comprobar si está despierto.</t>
  </si>
  <si>
    <t>revendiquer</t>
  </si>
  <si>
    <t>Ils revendiquent leurs droits devant le tribunal.</t>
  </si>
  <si>
    <t>Reclaman sus derechos ante los tribunales.</t>
  </si>
  <si>
    <t>révoquer</t>
  </si>
  <si>
    <t>Le gouvernement révoque la licence de l'entreprise.</t>
  </si>
  <si>
    <t>El gobierno revoca la licencia de la empresa.</t>
  </si>
  <si>
    <t>familiariser</t>
  </si>
  <si>
    <t>Il familiarise les nouveaux employés avec les procédures.</t>
  </si>
  <si>
    <t>Familiariza a los nuevos empleados con los procedimientos.</t>
  </si>
  <si>
    <t>adorer</t>
  </si>
  <si>
    <t>Elle adore passer du temps à lire.</t>
  </si>
  <si>
    <t>Le encanta pasar tiempo leyendo.</t>
  </si>
  <si>
    <t>foutre</t>
  </si>
  <si>
    <t>Il faut foutre le feu pour faire griller les marshmallows.</t>
  </si>
  <si>
    <t>Hay que prender el fuego para asar los malvaviscos.</t>
  </si>
  <si>
    <t>rénover</t>
  </si>
  <si>
    <t>Ils rénovent la maison avant de la mettre en vente.</t>
  </si>
  <si>
    <t>Renuevan la casa antes de ponerla a la venta.</t>
  </si>
  <si>
    <t>péter</t>
  </si>
  <si>
    <t>Le ballon a pété lorsqu'il a été trop gonflé.</t>
  </si>
  <si>
    <t>El globo estalló cuando estaba demasiado inflado.</t>
  </si>
  <si>
    <t>intimider</t>
  </si>
  <si>
    <t>Il ne faut pas laisser les intimidations vous affecter.</t>
  </si>
  <si>
    <t>No dejes que el acoso te afecte.</t>
  </si>
  <si>
    <t>revivre</t>
  </si>
  <si>
    <t>Ils revivent leur jeunesse en dansant toute la nuit.</t>
  </si>
  <si>
    <t>Revive su juventud bailando toda la noche.</t>
  </si>
  <si>
    <t>garer</t>
  </si>
  <si>
    <t>Il gare sa voiture dans le parking souterrain.</t>
  </si>
  <si>
    <t>Aparca su coche en el aparcamiento subterráneo.</t>
  </si>
  <si>
    <t>concurrencer</t>
  </si>
  <si>
    <t>Ils concurrencent leurs rivaux sur le marché international.</t>
  </si>
  <si>
    <t>Compiten con sus rivales en el mercado internacional.</t>
  </si>
  <si>
    <t>redémarrer</t>
  </si>
  <si>
    <t>Le système redémarre après la mise à jour.</t>
  </si>
  <si>
    <t>El sistema se reinicia después de la actualización.</t>
  </si>
  <si>
    <t>ennuyer</t>
  </si>
  <si>
    <t>Elle s'ennuie à mourir pendant la réunion.</t>
  </si>
  <si>
    <t>Ella se aburre mortalmente durante la reunión.</t>
  </si>
  <si>
    <t>prolétariser</t>
  </si>
  <si>
    <t>Ils prolétarisent la classe ouvrière pour une meilleure représentation.</t>
  </si>
  <si>
    <t>Proletarizan a la clase trabajadora para una mejor representación.</t>
  </si>
  <si>
    <t>anéantir</t>
  </si>
  <si>
    <t>Il anéantit les rêves de ses adversaires.</t>
  </si>
  <si>
    <t>Aplasta los sueños de sus oponentes.</t>
  </si>
  <si>
    <t>gaspiller</t>
  </si>
  <si>
    <t>Ils gaspillent trop d'eau en laissant le robinet ouvert.</t>
  </si>
  <si>
    <t>Desperdician demasiada agua al dejar el grifo abierto.</t>
  </si>
  <si>
    <t>briller</t>
  </si>
  <si>
    <t>Le soleil brille haut dans le ciel d'été.</t>
  </si>
  <si>
    <t>El sol brilla alto en el cielo de verano.</t>
  </si>
  <si>
    <t>balancer</t>
  </si>
  <si>
    <t>Elle balance ses jambes du haut du mur.</t>
  </si>
  <si>
    <t>Ella balancea sus piernas desde lo alto de la pared.</t>
  </si>
  <si>
    <t>contrecarrer</t>
  </si>
  <si>
    <t>Ils contrecarrent les plans de leurs ennemis.</t>
  </si>
  <si>
    <t>Frustran los planes de sus enemigos.</t>
  </si>
  <si>
    <t>soucier</t>
  </si>
  <si>
    <t>Ne te soucie pas de ce que pensent les autres.</t>
  </si>
  <si>
    <t>No te preocupes por lo que piensen los demás.</t>
  </si>
  <si>
    <t>retracer</t>
  </si>
  <si>
    <t>Il retrace l'histoire de la civilisation antique.</t>
  </si>
  <si>
    <t>Traza la historia de la civilización antigua.</t>
  </si>
  <si>
    <t>dealer</t>
  </si>
  <si>
    <t>Ils dealent des cartes pendant la partie de poker.</t>
  </si>
  <si>
    <t>Reparten cartas durante el juego de póquer.</t>
  </si>
  <si>
    <t>cranter</t>
  </si>
  <si>
    <t>Il crainte de craquer sous la pression.</t>
  </si>
  <si>
    <t>Teme quebrar bajo presión.</t>
  </si>
  <si>
    <t>synthétiser</t>
  </si>
  <si>
    <t>Elle synthétise les informations pour le rapport final.</t>
  </si>
  <si>
    <t>Ella sintetiza la información para el informe final.</t>
  </si>
  <si>
    <t>focaliser</t>
  </si>
  <si>
    <t>Ils se focalisent sur les objectifs à court terme.</t>
  </si>
  <si>
    <t>Se centran en objetivos a corto plazo.</t>
  </si>
  <si>
    <t>érater</t>
  </si>
  <si>
    <t>Elle érate la pâte pour qu'elle lève correctement.</t>
  </si>
  <si>
    <t>Amasa la masa para que suba bien.</t>
  </si>
  <si>
    <t>intercepter</t>
  </si>
  <si>
    <t>Il intercepte le ballon avant qu'il n'atteigne le panier.</t>
  </si>
  <si>
    <t>Intercepta el balón antes de que llegue a la canasta.</t>
  </si>
  <si>
    <t>encaisser</t>
  </si>
  <si>
    <t>Elle encaisse les chèques à la fin du mois.</t>
  </si>
  <si>
    <t>Ella cobra los cheques a fin de mes.</t>
  </si>
  <si>
    <t>divorcer</t>
  </si>
  <si>
    <t>Ils divorcent après dix ans de mariage.</t>
  </si>
  <si>
    <t>Se divorciaron después de diez años de matrimonio.</t>
  </si>
  <si>
    <t>mouvementer</t>
  </si>
  <si>
    <t>Il mouvemente la foule avec son discours passionné.</t>
  </si>
  <si>
    <t>Conmueve a la multitud con su apasionado discurso.</t>
  </si>
  <si>
    <t>reprocher</t>
  </si>
  <si>
    <t>Ils reprochent leur retard aux conditions météorologiques.</t>
  </si>
  <si>
    <t>Culpan a las condiciones climáticas por su retraso.</t>
  </si>
  <si>
    <t>imputer</t>
  </si>
  <si>
    <t>Elle impute la responsabilité à son assistant.</t>
  </si>
  <si>
    <t>Ella culpa a su asistente.</t>
  </si>
  <si>
    <t>pulvériser</t>
  </si>
  <si>
    <t>Ils pulvérisent l'insecticide dans le jardin.</t>
  </si>
  <si>
    <t>Rocían el insecticida en el jardín.</t>
  </si>
  <si>
    <t>proclamer</t>
  </si>
  <si>
    <t>Le maire proclame la journée de la ville.</t>
  </si>
  <si>
    <t>El alcalde proclama el día de la ciudad.</t>
  </si>
  <si>
    <t>contre-murer</t>
  </si>
  <si>
    <t>Ils contre-murent les portes pour renforcer la sécurité.</t>
  </si>
  <si>
    <t>Tapinan las puertas para aumentar la seguridad.</t>
  </si>
  <si>
    <t>propager</t>
  </si>
  <si>
    <t>Il propage la nouvelle à travers les réseaux sociaux.</t>
  </si>
  <si>
    <t>Difunde la noticia a través de las redes sociales.</t>
  </si>
  <si>
    <t>débarquer</t>
  </si>
  <si>
    <t>Ils débarquent du navire après une longue traversée.</t>
  </si>
  <si>
    <t>Desembarcan del barco tras una larga travesía.</t>
  </si>
  <si>
    <t>sous-estimer</t>
  </si>
  <si>
    <t>Ne sous-estimez pas l'importance de ce projet.</t>
  </si>
  <si>
    <t>No subestimes la importancia de este proyecto.</t>
  </si>
  <si>
    <t>rallier</t>
  </si>
  <si>
    <t>Ils rallient les troupes pour la bataille finale.</t>
  </si>
  <si>
    <t>Reúnen a las tropas para la batalla final.</t>
  </si>
  <si>
    <t>envahir</t>
  </si>
  <si>
    <t>Les envahisseurs prennent d'assaut le château.</t>
  </si>
  <si>
    <t>Los invasores asaltan el castillo.</t>
  </si>
  <si>
    <t>nordouester</t>
  </si>
  <si>
    <t>Il nordoueste la région pour prédire la météo.</t>
  </si>
  <si>
    <t>Se dirige al noroeste de la región para predecir el clima.</t>
  </si>
  <si>
    <t>réprimander</t>
  </si>
  <si>
    <t>Elle réprimande ses enfants pour leur mauvaise conduite.</t>
  </si>
  <si>
    <t>Regaña a sus hijos por su mal comportamiento.</t>
  </si>
  <si>
    <t>souffler</t>
  </si>
  <si>
    <t>Il souffle sur la soupe chaude pour la refroidir.</t>
  </si>
  <si>
    <t>Sopla la sopa caliente para enfriarla.</t>
  </si>
  <si>
    <t>torturer</t>
  </si>
  <si>
    <t>Le bourreau torture ses prisonniers pour obtenir des informations.</t>
  </si>
  <si>
    <t>El verdugo tortura a sus prisioneros para obtener información.</t>
  </si>
  <si>
    <t>bouffer</t>
  </si>
  <si>
    <t>Ils bouffent leur déjeuner sur le pouce.</t>
  </si>
  <si>
    <t>Almuerzan sobre la marcha.</t>
  </si>
  <si>
    <t>emménager</t>
  </si>
  <si>
    <t>Ils emménagent dans une nouvelle maison.</t>
  </si>
  <si>
    <t>Se están mudando a una nueva casa.</t>
  </si>
  <si>
    <t>miner</t>
  </si>
  <si>
    <t>Il mine les données pour trouver des tendances.</t>
  </si>
  <si>
    <t>Extrae datos para encontrar tendencias.</t>
  </si>
  <si>
    <t>pendre</t>
  </si>
  <si>
    <t>Elle pèse lourd sur sa conscience.</t>
  </si>
  <si>
    <t>Pesa mucho en su conciencia.</t>
  </si>
  <si>
    <t>automatiser</t>
  </si>
  <si>
    <t>Ils automatisent le processus de production pour augmenter l'efficacité.</t>
  </si>
  <si>
    <t>Automatizan el proceso de producción para aumentar la eficiencia.</t>
  </si>
  <si>
    <t>abriter</t>
  </si>
  <si>
    <t>La maison abrite une collection rare de livres anciens.</t>
  </si>
  <si>
    <t>La casa alberga una rara colección de libros antiguos.</t>
  </si>
  <si>
    <t>vomir</t>
  </si>
  <si>
    <t>Il vomit après avoir trop mangé.</t>
  </si>
  <si>
    <t>Vomita después de comer demasiado.</t>
  </si>
  <si>
    <t>pomper</t>
  </si>
  <si>
    <t>Ils pompent l'eau du puits pour l'irrigation.</t>
  </si>
  <si>
    <t>Bombean agua del pozo para riego.</t>
  </si>
  <si>
    <t>présumer</t>
  </si>
  <si>
    <t>Elle présume qu'il viendra à la réunion.</t>
  </si>
  <si>
    <t>Ella supone que él vendrá a la reunión.</t>
  </si>
  <si>
    <t>empirer</t>
  </si>
  <si>
    <t>Les tensions entre les pays empirent.</t>
  </si>
  <si>
    <t>Las tensiones entre países están empeorando.</t>
  </si>
  <si>
    <t>arroser</t>
  </si>
  <si>
    <t>Il arrose les plantes chaque matin.</t>
  </si>
  <si>
    <t>Riega las plantas todas las mañanas.</t>
  </si>
  <si>
    <t>rajouter</t>
  </si>
  <si>
    <t>Ils rajoutent des épices pour relever le goût du plat.</t>
  </si>
  <si>
    <t>Añaden especias para realzar el sabor del plato.</t>
  </si>
  <si>
    <t>redevenir</t>
  </si>
  <si>
    <t>Elle redevient la personne qu'elle était avant l'accident.</t>
  </si>
  <si>
    <t>Vuelve a ser la persona que era antes del accidente.</t>
  </si>
  <si>
    <t>lainer</t>
  </si>
  <si>
    <t>Ils lainent les moutons pour faire de la laine.</t>
  </si>
  <si>
    <t>Lavan las ovejas para hacer lana.</t>
  </si>
  <si>
    <t>déchiffrer</t>
  </si>
  <si>
    <t>Il déchiffre le code pour accéder au fichier.</t>
  </si>
  <si>
    <t>Descifra el código para acceder al archivo.</t>
  </si>
  <si>
    <t>piper</t>
  </si>
  <si>
    <t>Elle pipe les dés pour tricher au jeu de société.</t>
  </si>
  <si>
    <t>Chupa los dados para hacer trampa en el juego de mesa.</t>
  </si>
  <si>
    <t>dédier</t>
  </si>
  <si>
    <t>Ils dédient ce monument aux soldats tombés au combat.</t>
  </si>
  <si>
    <t>Dedican este monumento a los soldados caídos.</t>
  </si>
  <si>
    <t>apposer</t>
  </si>
  <si>
    <t>Il appose son cachet sur le contrat.</t>
  </si>
  <si>
    <t>Pone su sello en el contrato.</t>
  </si>
  <si>
    <t>renfermer</t>
  </si>
  <si>
    <t>Ils renferment leurs émotions pour paraître professionnels.</t>
  </si>
  <si>
    <t>Reprimen sus emociones para parecer profesionales.</t>
  </si>
  <si>
    <t>traquer</t>
  </si>
  <si>
    <t>Il traque le criminel à travers la ville.</t>
  </si>
  <si>
    <t>Sigue al criminal por toda la ciudad.</t>
  </si>
  <si>
    <t>enfreindre</t>
  </si>
  <si>
    <t>Ils enfreignent les règles pour atteindre leurs objectifs.</t>
  </si>
  <si>
    <t>Rompen las reglas para lograr sus objetivos.</t>
  </si>
  <si>
    <t>promulguer</t>
  </si>
  <si>
    <t>Le président promulgue une nouvelle loi.</t>
  </si>
  <si>
    <t>El presidente promulga una nueva ley.</t>
  </si>
  <si>
    <t>craquer</t>
  </si>
  <si>
    <t>Elle craque devant tant de pression.</t>
  </si>
  <si>
    <t>Ella se derrumba bajo tanta presión.</t>
  </si>
  <si>
    <t>confronter</t>
  </si>
  <si>
    <t>Ils confrontent les suspects lors de l'interrogatoire.</t>
  </si>
  <si>
    <t>Se enfrentan a los sospechosos durante el interrogatorio.</t>
  </si>
  <si>
    <t>tricoter</t>
  </si>
  <si>
    <t>Elle tricote une écharpe pour l'hiver.</t>
  </si>
  <si>
    <t>Está tejiendo una bufanda para el invierno.</t>
  </si>
  <si>
    <t>extrader</t>
  </si>
  <si>
    <t>Ils extradent le criminel vers son pays d'origine.</t>
  </si>
  <si>
    <t>Extraditan al criminal a su país de origen.</t>
  </si>
  <si>
    <t>démolir</t>
  </si>
  <si>
    <t>Ils démolissent l'ancien bâtiment pour construire un nouveau centre commercial.</t>
  </si>
  <si>
    <t>Están derribando el antiguo edificio para construir un nuevo centro comercial.</t>
  </si>
  <si>
    <t>postuler</t>
  </si>
  <si>
    <t>Elle postule pour un poste de cadre supérieur dans l'entreprise.</t>
  </si>
  <si>
    <t>Ella está postulando para un puesto directivo en la empresa.</t>
  </si>
  <si>
    <t>assouplir</t>
  </si>
  <si>
    <t>Il assouplit ses muscles après une longue séance d'entraînement.</t>
  </si>
  <si>
    <t>Afloja sus músculos después de una larga sesión de entrenamiento.</t>
  </si>
  <si>
    <t>vieillir</t>
  </si>
  <si>
    <t>Ses cheveux commencent à vieillir et deviennent gris.</t>
  </si>
  <si>
    <t>Su cabello está empezando a envejecer y volverse gris.</t>
  </si>
  <si>
    <t>régénérer</t>
  </si>
  <si>
    <t>Le traitement régénère les cellules de la peau.</t>
  </si>
  <si>
    <t>El tratamiento regenera las células de la piel.</t>
  </si>
  <si>
    <t>rafraîchir</t>
  </si>
  <si>
    <t>Il rafraîchit son visage avec de l'eau fraîche.</t>
  </si>
  <si>
    <t>Refresca su rostro con agua fría.</t>
  </si>
  <si>
    <t>surfer</t>
  </si>
  <si>
    <t>Ils surfent sur les vagues de l'océan chaque été.</t>
  </si>
  <si>
    <t>Montan las olas del océano todos los veranos.</t>
  </si>
  <si>
    <t>canaliser</t>
  </si>
  <si>
    <t>Elle canalise son énergie créative dans ses peintures.</t>
  </si>
  <si>
    <t>Canaliza su energía creativa en sus pinturas.</t>
  </si>
  <si>
    <t>détester</t>
  </si>
  <si>
    <t>Ils détestent les jours de pluie.</t>
  </si>
  <si>
    <t>Odian los días lluviosos.</t>
  </si>
  <si>
    <t>harceler</t>
  </si>
  <si>
    <t>Il harcèle ses voisins avec du bruit tard le soir.</t>
  </si>
  <si>
    <t>Acosa a sus vecinos con ruidos a altas horas de la noche.</t>
  </si>
  <si>
    <t>émerger</t>
  </si>
  <si>
    <t>Des idées novatrices émergent lors des brainstormings.</t>
  </si>
  <si>
    <t>Durante la lluvia de ideas surgen ideas innovadoras.</t>
  </si>
  <si>
    <t>enrouler</t>
  </si>
  <si>
    <t>Elle enroule la corde autour du poteau en bois.</t>
  </si>
  <si>
    <t>Envuelve la cuerda alrededor del poste de madera.</t>
  </si>
  <si>
    <t>étonner</t>
  </si>
  <si>
    <t>Son talent artistique étonne toujours ses professeurs.</t>
  </si>
  <si>
    <t>Su talento artístico siempre sorprende a sus profesores.</t>
  </si>
  <si>
    <t>comptabiliser</t>
  </si>
  <si>
    <t>Ils comptabilisent les bénéfices et les pertes de l'année dernière.</t>
  </si>
  <si>
    <t>Cuentan las ganancias y pérdidas del año pasado.</t>
  </si>
  <si>
    <t>éveiller</t>
  </si>
  <si>
    <t>Les enfants s'éveillent tôt le matin.</t>
  </si>
  <si>
    <t>Los niños se despiertan temprano en la mañana.</t>
  </si>
  <si>
    <t>surgir</t>
  </si>
  <si>
    <t>Des problèmes surgissent à chaque étape du projet.</t>
  </si>
  <si>
    <t>Los problemas surgen en cada etapa del proyecto.</t>
  </si>
  <si>
    <t>expirer</t>
  </si>
  <si>
    <t>Il expire profondément pour se détendre.</t>
  </si>
  <si>
    <t>Exhala profundamente para relajarse.</t>
  </si>
  <si>
    <t>approvisionner</t>
  </si>
  <si>
    <t>Ils approvisionnent les magasins en produits frais tous les matins.</t>
  </si>
  <si>
    <t>Todas las mañanas abastecen a las tiendas con productos frescos.</t>
  </si>
  <si>
    <t>excéder</t>
  </si>
  <si>
    <t>Elle excède les attentes de ses professeurs en mathématiques.</t>
  </si>
  <si>
    <t>Supera las expectativas de sus profesores en matemáticas.</t>
  </si>
  <si>
    <t>dynamiser</t>
  </si>
  <si>
    <t>Le nouvel entraîneur dynamise l'équipe de football.</t>
  </si>
  <si>
    <t>El nuevo entrenador da energía al equipo de fútbol.</t>
  </si>
  <si>
    <t>exhorter</t>
  </si>
  <si>
    <t>Il exhorte ses collègues à donner le meilleur d'eux-mêmes.</t>
  </si>
  <si>
    <t>Insta a sus compañeros a dar lo mejor de sí.</t>
  </si>
  <si>
    <t>parier</t>
  </si>
  <si>
    <t>Ils parient sur le résultat du match de football.</t>
  </si>
  <si>
    <t>Apuestan por el resultado del partido de fútbol.</t>
  </si>
  <si>
    <t>sponsoriser</t>
  </si>
  <si>
    <t>L'entreprise sponsorise l'équipe de course automobile.</t>
  </si>
  <si>
    <t>La empresa patrocina al equipo de carreras de autos.</t>
  </si>
  <si>
    <t>hésiter</t>
  </si>
  <si>
    <t>Elle hésite avant de prendre une décision importante.</t>
  </si>
  <si>
    <t>Duda antes de tomar una decisión importante.</t>
  </si>
  <si>
    <t>revendre</t>
  </si>
  <si>
    <t>Ils revendent leurs vieux meubles sur Internet.</t>
  </si>
  <si>
    <t>Revenden sus muebles viejos en Internet.</t>
  </si>
  <si>
    <t>boucler</t>
  </si>
  <si>
    <t>Elle boucle ses cheveux en une queue de cheval élégante.</t>
  </si>
  <si>
    <t>Se riza el pelo en una elegante cola de caballo.</t>
  </si>
  <si>
    <t>soufrer</t>
  </si>
  <si>
    <t>Ils souffrent de la chaleur accablante.</t>
  </si>
  <si>
    <t>Están sufriendo el calor opresivo.</t>
  </si>
  <si>
    <t>discerner</t>
  </si>
  <si>
    <t>Il discerne la vérité derrière les apparences.</t>
  </si>
  <si>
    <t>Él discierne la verdad detrás de las apariencias.</t>
  </si>
  <si>
    <t>chapeler</t>
  </si>
  <si>
    <t>Elle chapele ses élèves avec attention.</t>
  </si>
  <si>
    <t>Capellana a sus alumnos con atención.</t>
  </si>
  <si>
    <t>infiltrer</t>
  </si>
  <si>
    <t>Ils ont infiltré le réseau pour recueillir des informations confidentielles.</t>
  </si>
  <si>
    <t>Se infiltraron en la red para recopilar información confidencial.</t>
  </si>
  <si>
    <t>statuer</t>
  </si>
  <si>
    <t>Le jury doit statuer sur la culpabilité de l'accusé.</t>
  </si>
  <si>
    <t>El jurado debe decidir si el acusado es culpable.</t>
  </si>
  <si>
    <t>généraliser</t>
  </si>
  <si>
    <t>Ils généralisent leurs conclusions à toute la population.</t>
  </si>
  <si>
    <t>Generalizan sus conclusiones a toda la población.</t>
  </si>
  <si>
    <t>raccourcir</t>
  </si>
  <si>
    <t>Il raccourcit la route pour arriver plus vite.</t>
  </si>
  <si>
    <t>Acorta la ruta para llegar más rápido.</t>
  </si>
  <si>
    <t>lester</t>
  </si>
  <si>
    <t>Ils lestent le ballon pour qu'il ne s'envole pas.</t>
  </si>
  <si>
    <t>Pesan la pelota para que no salga volando.</t>
  </si>
  <si>
    <t>mordre</t>
  </si>
  <si>
    <t>Le chien a mordu le facteur par accident.</t>
  </si>
  <si>
    <t>El perro mordió al cartero por accidente.</t>
  </si>
  <si>
    <t>secouer</t>
  </si>
  <si>
    <t>Elle secoue la boîte pour mélanger les ingrédients.</t>
  </si>
  <si>
    <t>Agita la caja para mezclar los ingredientes.</t>
  </si>
  <si>
    <t>flotter</t>
  </si>
  <si>
    <t>Les feuilles mortes flottent à la surface de l'eau.</t>
  </si>
  <si>
    <t>Las hojas muertas flotan en la superficie del agua.</t>
  </si>
  <si>
    <t>déplorer</t>
  </si>
  <si>
    <t>Ils déplorent la perte de leur ami proche.</t>
  </si>
  <si>
    <t>Lamentan la pérdida de su amigo cercano.</t>
  </si>
  <si>
    <t>embêter</t>
  </si>
  <si>
    <t>Ne m'embête pas pendant que je travaille.</t>
  </si>
  <si>
    <t>No me molestes mientras trabajo.</t>
  </si>
  <si>
    <t>accoucher</t>
  </si>
  <si>
    <t>Elle accouche d'un beau bébé en bonne santé.</t>
  </si>
  <si>
    <t>Da a luz a un bebé hermoso y sano.</t>
  </si>
  <si>
    <t>sonner</t>
  </si>
  <si>
    <t>La cloche sonne pour annoncer la fin des cours.</t>
  </si>
  <si>
    <t>Suena el timbre para anunciar el fin de clases.</t>
  </si>
  <si>
    <t>assainir</t>
  </si>
  <si>
    <t>Ils assainissent le quartier en nettoyant les rues.</t>
  </si>
  <si>
    <t>Limpian el barrio limpiando las calles.</t>
  </si>
  <si>
    <t>jasper</t>
  </si>
  <si>
    <t>Il jaspait le sol pour en faire une surface lisse.</t>
  </si>
  <si>
    <t>Apedreó el suelo para que quedara una superficie lisa.</t>
  </si>
  <si>
    <t>attester</t>
  </si>
  <si>
    <t>Ils attestent de son innocence devant le tribunal.</t>
  </si>
  <si>
    <t>Dan fe de su inocencia ante el tribunal.</t>
  </si>
  <si>
    <t>étirer</t>
  </si>
  <si>
    <t>Elle étire ses muscles après une longue période d'inactivité.</t>
  </si>
  <si>
    <t>Estira sus músculos después de un largo período de inactividad.</t>
  </si>
  <si>
    <t>replacer</t>
  </si>
  <si>
    <t>Ils replacent les meubles dans la pièce après le nettoyage.</t>
  </si>
  <si>
    <t>Volvieron a colocar los muebles en la habitación después de limpiarlos.</t>
  </si>
  <si>
    <t>entreposer</t>
  </si>
  <si>
    <t>Ils entreposent les fournitures dans le garage.</t>
  </si>
  <si>
    <t>Almacenan suministros en el garaje.</t>
  </si>
  <si>
    <t>intenter</t>
  </si>
  <si>
    <t>Il intente un procès contre l'entreprise pour discrimination.</t>
  </si>
  <si>
    <t>Presenta una demanda contra la empresa por discriminación.</t>
  </si>
  <si>
    <t>déformer</t>
  </si>
  <si>
    <t>Les miroirs déforment parfois la réalité.</t>
  </si>
  <si>
    <t>Los espejos a veces distorsionan la realidad.</t>
  </si>
  <si>
    <t>retomber</t>
  </si>
  <si>
    <t>Ils retombent amoureux l'un de l'autre après des années.</t>
  </si>
  <si>
    <t>Se vuelven a enamorar después de años.</t>
  </si>
  <si>
    <t>uniformiser</t>
  </si>
  <si>
    <t>Elle uniformise la couleur des murs dans toute la maison.</t>
  </si>
  <si>
    <t>Estandariza el color de las paredes de toda la casa.</t>
  </si>
  <si>
    <t>raser</t>
  </si>
  <si>
    <t>Il rase sa barbe tous les matins.</t>
  </si>
  <si>
    <t>Se afeita la barba todas las mañanas.</t>
  </si>
  <si>
    <t>endurer</t>
  </si>
  <si>
    <t>Elle endure la douleur avec courage.</t>
  </si>
  <si>
    <t>Ella soporta el dolor con valentía.</t>
  </si>
  <si>
    <t>insulter</t>
  </si>
  <si>
    <t>Il l'insulte sans raison apparente.</t>
  </si>
  <si>
    <t>Él la insulta sin motivo aparente.</t>
  </si>
  <si>
    <t>brumer</t>
  </si>
  <si>
    <t>Le brouillard brume la vue sur la ville.</t>
  </si>
  <si>
    <t>La niebla nubla la vista de la ciudad.</t>
  </si>
  <si>
    <t>chuter</t>
  </si>
  <si>
    <t>Elle chute en patinant sur la glace.</t>
  </si>
  <si>
    <t>Se cae mientras patina sobre el hielo.</t>
  </si>
  <si>
    <t>réfuter</t>
  </si>
  <si>
    <t>Il réfute fermement cette théorie.</t>
  </si>
  <si>
    <t>Él refuta firmemente esta teoría.</t>
  </si>
  <si>
    <t>secourir</t>
  </si>
  <si>
    <t>Ils secourent les victimes après le tremblement de terre.</t>
  </si>
  <si>
    <t>Rescatan a víctimas tras el terremoto.</t>
  </si>
  <si>
    <t>bâcher</t>
  </si>
  <si>
    <t>Il bâche la voiture pour la protéger de la pluie.</t>
  </si>
  <si>
    <t>Cubre el coche para protegerlo de la lluvia.</t>
  </si>
  <si>
    <t>remuer</t>
  </si>
  <si>
    <t>Elle remue le mélange avant de le verser dans le moule.</t>
  </si>
  <si>
    <t>Remueve la mezcla antes de verterla en el molde.</t>
  </si>
  <si>
    <t>redire</t>
  </si>
  <si>
    <t>Il redit ses mots pour être sûr d'avoir été compris.</t>
  </si>
  <si>
    <t>Repitió sus palabras para asegurarse de que lo entendieran.</t>
  </si>
  <si>
    <t>hurler</t>
  </si>
  <si>
    <t>Elle hurle de joie en voyant le cadeau d'anniversaire.</t>
  </si>
  <si>
    <t>Ella grita de alegría al ver el regalo de cumpleaños.</t>
  </si>
  <si>
    <t>épuiser</t>
  </si>
  <si>
    <t>Ils s'épuisent à courir un marathon.</t>
  </si>
  <si>
    <t>Se cansan corriendo una maratón.</t>
  </si>
  <si>
    <t>questionner</t>
  </si>
  <si>
    <t>Le détective questionne le témoin pour obtenir des informations.</t>
  </si>
  <si>
    <t>El detective interroga al testigo en busca de información.</t>
  </si>
  <si>
    <t>dégrener</t>
  </si>
  <si>
    <t>Il dégrène les haricots pour préparer le dîner.</t>
  </si>
  <si>
    <t>Rompe los frijoles para preparar la cena.</t>
  </si>
  <si>
    <t>dégréner</t>
  </si>
  <si>
    <t>"Elle dégrène les piments pour préparer une sauce piquante."</t>
  </si>
  <si>
    <t>"Ella desmenuza los pimientos para hacer una salsa picante".</t>
  </si>
  <si>
    <t>disputer</t>
  </si>
  <si>
    <t>Ils disputent souvent sur des sujets politiques.</t>
  </si>
  <si>
    <t>A menudo discuten sobre temas políticos.</t>
  </si>
  <si>
    <t>diluer</t>
  </si>
  <si>
    <t>Elle dilue la peinture pour obtenir la bonne teinte.</t>
  </si>
  <si>
    <t>Diluye la pintura para conseguir el tono adecuado.</t>
  </si>
  <si>
    <t>unifier</t>
  </si>
  <si>
    <t>Ils unifient leurs forces pour atteindre leur objectif commun.</t>
  </si>
  <si>
    <t>Unen sus fuerzas para lograr su objetivo común.</t>
  </si>
  <si>
    <t>polir</t>
  </si>
  <si>
    <t>Il polit la surface du bois pour la rendre lisse.</t>
  </si>
  <si>
    <t>Pule la superficie de la madera para dejarla lisa.</t>
  </si>
  <si>
    <t>ancrer</t>
  </si>
  <si>
    <t>Ils ancrent le bateau au quai avant de partir.</t>
  </si>
  <si>
    <t>Anclan el barco en el muelle antes de partir.</t>
  </si>
  <si>
    <t>garnir</t>
  </si>
  <si>
    <t>Elle garnit la tarte de fruits frais avant de la cuire.</t>
  </si>
  <si>
    <t>Adorna la tarta con fruta fresca antes de hornearla.</t>
  </si>
  <si>
    <t>libéraliser</t>
  </si>
  <si>
    <t>Le gouvernement a décidé de libéraliser le marché du travail.</t>
  </si>
  <si>
    <t>El gobierno ha decidido liberalizar el mercado laboral.</t>
  </si>
  <si>
    <t>réconcilier</t>
  </si>
  <si>
    <t>Ils réconcilient leurs différences pour le bien de leur amitié.</t>
  </si>
  <si>
    <t>Reconcilian sus diferencias por el bien de su amistad.</t>
  </si>
  <si>
    <t>exacerber</t>
  </si>
  <si>
    <t>La situation s'exacerbe avec chaque nouvel incident.</t>
  </si>
  <si>
    <t>La situación empeora con cada nuevo incidente.</t>
  </si>
  <si>
    <t>liquider</t>
  </si>
  <si>
    <t>Ils liquident leurs stocks pour faire de la place pour de nouveaux produits.</t>
  </si>
  <si>
    <t>Liquidan su inventario para dejar espacio a nuevos productos.</t>
  </si>
  <si>
    <t>dicter</t>
  </si>
  <si>
    <t>Il dicte une lettre à son assistant.</t>
  </si>
  <si>
    <t>Le dicta una carta a su asistente.</t>
  </si>
  <si>
    <t>élucider</t>
  </si>
  <si>
    <t>Elle élucide le mystère qui entoure la disparition.</t>
  </si>
  <si>
    <t>Ella aclara el misterio que rodea la desaparición.</t>
  </si>
  <si>
    <t>relaxer</t>
  </si>
  <si>
    <t>Il relaxe ses muscles tendus après une journée stressante.</t>
  </si>
  <si>
    <t>Relaja los músculos tensos después de un día estresante.</t>
  </si>
  <si>
    <t>contre-manifester</t>
  </si>
  <si>
    <t>Ils contre-manifestent contre la décision du gouvernement.</t>
  </si>
  <si>
    <t>Están contramanifestándose contra la decisión del gobierno.</t>
  </si>
  <si>
    <t>inculquer</t>
  </si>
  <si>
    <t>Elle inculque des valeurs morales à ses enfants.</t>
  </si>
  <si>
    <t>Inculca valores morales a sus hijos.</t>
  </si>
  <si>
    <t>conditionner</t>
  </si>
  <si>
    <t>Ils conditionnent les produits avant de les expédier.</t>
  </si>
  <si>
    <t>Empaquetan los productos antes de enviarlos.</t>
  </si>
  <si>
    <t>subsister</t>
  </si>
  <si>
    <t>Sa détermination subsiste malgré les obstacles rencontrés.</t>
  </si>
  <si>
    <t>Su determinación permanece a pesar de los obstáculos encontrados.</t>
  </si>
  <si>
    <t>envelopper</t>
  </si>
  <si>
    <t>Elle enveloppe les cadeaux avec soin.</t>
  </si>
  <si>
    <t>Envuelve los regalos con cuidado.</t>
  </si>
  <si>
    <t>précipiter</t>
  </si>
  <si>
    <t>Ils précipitent leur décision pour éviter tout retard.</t>
  </si>
  <si>
    <t>Apuran su decisión para evitar cualquier retraso.</t>
  </si>
  <si>
    <t>chiffrer</t>
  </si>
  <si>
    <t>Il chiffre les données pour assurer leur sécurité.</t>
  </si>
  <si>
    <t>Cifra los datos para garantizar su seguridad.</t>
  </si>
  <si>
    <t>modéliser</t>
  </si>
  <si>
    <t>Ils modélisent le comportement des consommateurs pour prévoir les ventes.</t>
  </si>
  <si>
    <t>Modelan el comportamiento del consumidor para predecir las ventas.</t>
  </si>
  <si>
    <t>divertir</t>
  </si>
  <si>
    <t>Elle divertit les enfants avec des jeux et des chansons.</t>
  </si>
  <si>
    <t>Entretiene a los niños con juegos y canciones.</t>
  </si>
  <si>
    <t>préconiser</t>
  </si>
  <si>
    <t>Ils préconisent une approche plus collaborative dans l'équipe.</t>
  </si>
  <si>
    <t>Abogan por un enfoque más colaborativo en el equipo.</t>
  </si>
  <si>
    <t>vibrer</t>
  </si>
  <si>
    <t>Les cordes de la guitare vibrent sous ses doigts.</t>
  </si>
  <si>
    <t>Las cuerdas de la guitarra vibran bajo sus dedos.</t>
  </si>
  <si>
    <t>espionner</t>
  </si>
  <si>
    <t>Ils espionnent le suspect pour obtenir des preuves.</t>
  </si>
  <si>
    <t>Espían al sospechoso para obtener pruebas.</t>
  </si>
  <si>
    <t>computer</t>
  </si>
  <si>
    <t>Il compute les chiffres pour le rapport financier.</t>
  </si>
  <si>
    <t>Calcula los números para el informe financiero.</t>
  </si>
  <si>
    <t>conjuguer</t>
  </si>
  <si>
    <t>Elle conjugue le verbe correctement en français.</t>
  </si>
  <si>
    <t>Ella conjuga el verbo correctamente en francés.</t>
  </si>
  <si>
    <t>déconnecter</t>
  </si>
  <si>
    <t>Ils déconnectent l'alarme avant de pénétrer dans le bâtiment.</t>
  </si>
  <si>
    <t>Desconectan la alarma antes de entrar al edificio.</t>
  </si>
  <si>
    <t>dépister</t>
  </si>
  <si>
    <t>Il dépiste la source de la fuite d'eau dans la cuisine.</t>
  </si>
  <si>
    <t>Localiza el origen de la fuga de agua en la cocina.</t>
  </si>
  <si>
    <t>flécher</t>
  </si>
  <si>
    <t>Ils flèchent les sentiers pour guider les randonneurs.</t>
  </si>
  <si>
    <t>Marcan los senderos para guiar a los excursionistas.</t>
  </si>
  <si>
    <t>allier</t>
  </si>
  <si>
    <t>Ils s'allient avec d'autres entreprises pour développer de nouveaux produits.</t>
  </si>
  <si>
    <t>Se asocian con otras empresas para desarrollar nuevos productos.</t>
  </si>
  <si>
    <t>hausser</t>
  </si>
  <si>
    <t>Il hausse les épaules pour montrer son indifférence.</t>
  </si>
  <si>
    <t>Se encoge de hombros para mostrar su indiferencia.</t>
  </si>
  <si>
    <t>griller</t>
  </si>
  <si>
    <t>Il grille des légumes pour le dîner.</t>
  </si>
  <si>
    <t>Está asando verduras para la cena.</t>
  </si>
  <si>
    <t>hériter</t>
  </si>
  <si>
    <t>Elle hérite d'une vieille maison de sa grand-mère.</t>
  </si>
  <si>
    <t>Hereda una casa antigua de su abuela.</t>
  </si>
  <si>
    <t>pénaliser</t>
  </si>
  <si>
    <t>Le règlement pénalise ceux qui enfreignent les règles.</t>
  </si>
  <si>
    <t>La normativa penaliza a quienes infringen las normas.</t>
  </si>
  <si>
    <t>l'emporter</t>
  </si>
  <si>
    <t>L'équipe visiteuse l'emporte avec un score de 3-0.</t>
  </si>
  <si>
    <t>El equipo visitante gana con un marcador de 3-0.</t>
  </si>
  <si>
    <t>draguer</t>
  </si>
  <si>
    <t>Il essaie de la draguer depuis des semaines.</t>
  </si>
  <si>
    <t>Lleva semanas intentando ligar con ella.</t>
  </si>
  <si>
    <t>refermer</t>
  </si>
  <si>
    <t>Referme bien la porte à clé avant de partir.</t>
  </si>
  <si>
    <t>Cierra bien la puerta antes de salir.</t>
  </si>
  <si>
    <t>essuyer</t>
  </si>
  <si>
    <t>Elle essuie la table après le repas.</t>
  </si>
  <si>
    <t>Limpia la mesa después de la comida.</t>
  </si>
  <si>
    <t>exempter</t>
  </si>
  <si>
    <t>Certaines personnes sont exemptées de taxes.</t>
  </si>
  <si>
    <t>Algunas personas están exentas de impuestos.</t>
  </si>
  <si>
    <t>crocheter</t>
  </si>
  <si>
    <t>Il crochète la serrure pour entrer dans la pièce.</t>
  </si>
  <si>
    <t>Abre la cerradura para entrar a la habitación.</t>
  </si>
  <si>
    <t>humilier</t>
  </si>
  <si>
    <t>Son commentaire l'humilie devant ses collègues.</t>
  </si>
  <si>
    <t>Su comentario lo humilla frente a sus compañeros.</t>
  </si>
  <si>
    <t>chauvir</t>
  </si>
  <si>
    <t>Le bateau a chaviré pendant la tempête.</t>
  </si>
  <si>
    <t>El barco volcó durante la tormenta.</t>
  </si>
  <si>
    <t>clocher</t>
  </si>
  <si>
    <t>Le projet a échoué à cause d'un détail qui clochait.</t>
  </si>
  <si>
    <t>El proyecto fracasó debido a un detalle que estaba mal.</t>
  </si>
  <si>
    <t>frotter</t>
  </si>
  <si>
    <t>Il frotte vigoureusement la tache sur le tapis.</t>
  </si>
  <si>
    <t>Frota vigorosamente la mancha de la alfombra.</t>
  </si>
  <si>
    <t>numériser</t>
  </si>
  <si>
    <t>Les entreprises doivent numériser leurs documents administratifs.</t>
  </si>
  <si>
    <t>Las empresas deberán digitalizar sus documentos administrativos.</t>
  </si>
  <si>
    <t>contredire</t>
  </si>
  <si>
    <t>Je te contredis sur ce point car j'ai une opinion différente.</t>
  </si>
  <si>
    <t>No estoy de acuerdo contigo en este punto porque tengo una opinión diferente.</t>
  </si>
  <si>
    <t>tailler</t>
  </si>
  <si>
    <t>Elle taille les haies du jardin avec soin.</t>
  </si>
  <si>
    <t>Recorta los setos del jardín con cuidado.</t>
  </si>
  <si>
    <t>désinfecter</t>
  </si>
  <si>
    <t>Il désinfecte la plaie avant de mettre un pansement.</t>
  </si>
  <si>
    <t>Desinfecta la herida antes de ponerle un vendaje.</t>
  </si>
  <si>
    <t>éjecter</t>
  </si>
  <si>
    <t>Le pilote éjecte le siège éjectable en cas d'urgence.</t>
  </si>
  <si>
    <t>El piloto expulsa el asiento eyectable en caso de emergencia.</t>
  </si>
  <si>
    <t>étaler</t>
  </si>
  <si>
    <t>Elle étale la pâte à pizza sur la plaque.</t>
  </si>
  <si>
    <t>Extiende la masa de pizza en la bandeja para hornear.</t>
  </si>
  <si>
    <t>jacter</t>
  </si>
  <si>
    <t>Il jacte sans cesse à propos de ses exploits.</t>
  </si>
  <si>
    <t>Constantemente chismea sobre sus hazañas.</t>
  </si>
  <si>
    <t>prêcher</t>
  </si>
  <si>
    <t>Le prêtre prêche sur la paix et la tolérance.</t>
  </si>
  <si>
    <t>El sacerdote predica sobre la paz y la tolerancia.</t>
  </si>
  <si>
    <t>décomposer</t>
  </si>
  <si>
    <t>Il faut décomposer le problème en étapes plus petites.</t>
  </si>
  <si>
    <t>Tienes que dividir el problema en pasos más pequeños.</t>
  </si>
  <si>
    <t>reformuler</t>
  </si>
  <si>
    <t>Il faut reformuler ce paragraphe pour le rendre plus clair.</t>
  </si>
  <si>
    <t>Es necesario reformular este párrafo para que quede más claro.</t>
  </si>
  <si>
    <t>conglomérer</t>
  </si>
  <si>
    <t>L'entreprise a congloméré plusieurs petites sociétés sous son nom.</t>
  </si>
  <si>
    <t>La empresa ha conglomerado varias empresas más pequeñas bajo su nombre.</t>
  </si>
  <si>
    <t>manoeuvrer</t>
  </si>
  <si>
    <t>Le capitaine manoeuvre habilement le navire dans le port.</t>
  </si>
  <si>
    <t>El capitán maniobra hábilmente el barco hacia el puerto.</t>
  </si>
  <si>
    <t>désarmer</t>
  </si>
  <si>
    <t>Ils désarment les bombes avec précaution.</t>
  </si>
  <si>
    <t>Desarman cuidadosamente las bombas.</t>
  </si>
  <si>
    <t>dissocier</t>
  </si>
  <si>
    <t>Il faut dissocier les faits des opinions.</t>
  </si>
  <si>
    <t>Debemos separar los hechos de las opiniones.</t>
  </si>
  <si>
    <t>applaudir</t>
  </si>
  <si>
    <t>Le public applaudit après la performance exceptionnelle.</t>
  </si>
  <si>
    <t>El público aplaude tras la excepcional actuación.</t>
  </si>
  <si>
    <t>mater</t>
  </si>
  <si>
    <t>Elle a maté son adversaire lors du match de tennis.</t>
  </si>
  <si>
    <t>Derrotó a su oponente durante el partido de tenis.</t>
  </si>
  <si>
    <t>broyer</t>
  </si>
  <si>
    <t>Il broie les grains de café pour faire du café frais.</t>
  </si>
  <si>
    <t>Muele los granos de café para preparar café recién hecho.</t>
  </si>
  <si>
    <t>oser</t>
  </si>
  <si>
    <t>Elle ose lui demander une augmentation de salaire.</t>
  </si>
  <si>
    <t>Se atreve a pedirle un aumento de sueldo.</t>
  </si>
  <si>
    <t>relire</t>
  </si>
  <si>
    <t>Je relis mon essai avant de le soumettre.</t>
  </si>
  <si>
    <t>Revisé mi ensayo antes de enviarlo.</t>
  </si>
  <si>
    <t>méditer</t>
  </si>
  <si>
    <t>Elle médite chaque matin pour se recentrer.</t>
  </si>
  <si>
    <t>Medita todas las mañanas para reenfocarse.</t>
  </si>
  <si>
    <t>appartenir</t>
  </si>
  <si>
    <t>Cette maison appartient à ma famille depuis des générations.</t>
  </si>
  <si>
    <t>Esta casa ha pertenecido a mi familia durante generaciones.</t>
  </si>
  <si>
    <t>nouer</t>
  </si>
  <si>
    <t>Ils nouent une amitié solide malgré les difficultés.</t>
  </si>
  <si>
    <t>Forman una fuerte amistad a pesar de las dificultades.</t>
  </si>
  <si>
    <t>rider</t>
  </si>
  <si>
    <t>Le vent rider la surface du lac.</t>
  </si>
  <si>
    <t>El viento ondula la superficie del lago.</t>
  </si>
  <si>
    <t>dépêcher</t>
  </si>
  <si>
    <t>Il se dépêche pour ne pas rater son train.</t>
  </si>
  <si>
    <t>Se apresura para no perder el tren.</t>
  </si>
  <si>
    <t>contaminer</t>
  </si>
  <si>
    <t>Les bactéries peuvent contaminer les aliments facilement.</t>
  </si>
  <si>
    <t>Las bacterias pueden contaminar los alimentos fácilmente.</t>
  </si>
  <si>
    <t>interviewer</t>
  </si>
  <si>
    <t>Il interviewe des personnalités pour son émission de radio.</t>
  </si>
  <si>
    <t>Entrevista a personalidades para su programa de radio.</t>
  </si>
  <si>
    <t>centraliser</t>
  </si>
  <si>
    <t>L'entreprise centralise ses opérations dans un nouveau bureau.</t>
  </si>
  <si>
    <t>La empresa está centralizando sus operaciones en una nueva oficina.</t>
  </si>
  <si>
    <t>raisonner</t>
  </si>
  <si>
    <t>Il faut raisonner avant de prendre une décision importante.</t>
  </si>
  <si>
    <t>Hay que razonar antes de tomar una decisión importante.</t>
  </si>
  <si>
    <t>décliner</t>
  </si>
  <si>
    <t>Les ventes de ce produit déclinent depuis quelques mois.</t>
  </si>
  <si>
    <t>Las ventas de este producto llevan varios meses cayendo.</t>
  </si>
  <si>
    <t>persévérer</t>
  </si>
  <si>
    <t>Malgré les difficultés, elle persévère dans son projet.</t>
  </si>
  <si>
    <t>A pesar de las dificultades, ella persevera en su proyecto.</t>
  </si>
  <si>
    <t>dîmer</t>
  </si>
  <si>
    <t>Ils dîment tous les ans pour soutenir l'église locale.</t>
  </si>
  <si>
    <t>Diezman cada año para apoyar a la iglesia local.</t>
  </si>
  <si>
    <t>contreplaquer</t>
  </si>
  <si>
    <t>Il faut contreplaquer le bois pour renforcer la structure.</t>
  </si>
  <si>
    <t>La madera debe ser contrachapada para reforzar la estructura.</t>
  </si>
  <si>
    <t>institutionnaliser</t>
  </si>
  <si>
    <t>Ils institutionnalisent une nouvelle politique de recrutement.</t>
  </si>
  <si>
    <t>Institucionalizan una nueva política de contratación.</t>
  </si>
  <si>
    <t>blanchir</t>
  </si>
  <si>
    <t>Elle blanchit les draps pour les rendre éclatants.</t>
  </si>
  <si>
    <t>Blanquea las sábanas para darles brillo.</t>
  </si>
  <si>
    <t>contre-indiquer</t>
  </si>
  <si>
    <t>Ce médicament contre-indique la consommation d'alcool.</t>
  </si>
  <si>
    <t>Este medicamento contraindica el consumo de alcohol.</t>
  </si>
  <si>
    <t>conjecturer</t>
  </si>
  <si>
    <t>Les scientifiques conjecturent sur l'origine de cette maladie.</t>
  </si>
  <si>
    <t>Los científicos especulan sobre el origen de esta enfermedad.</t>
  </si>
  <si>
    <t>incliner</t>
  </si>
  <si>
    <t>Elle incline la tête en signe de reconnaissance.</t>
  </si>
  <si>
    <t>Ella inclina la cabeza en señal de reconocimiento.</t>
  </si>
  <si>
    <t>défiler</t>
  </si>
  <si>
    <t>Les mannequins défilent sur le podium lors du défilé de mode.</t>
  </si>
  <si>
    <t>Los modelos caminan por la pasarela durante el desfile de moda.</t>
  </si>
  <si>
    <t>stériliser</t>
  </si>
  <si>
    <t>Il stérilise les instruments médicaux avant chaque utilisation.</t>
  </si>
  <si>
    <t>Esteriliza instrumentos médicos antes de cada uso.</t>
  </si>
  <si>
    <t>parer</t>
  </si>
  <si>
    <t>Elle pare la pièce de théâtre avec des décors magnifiques.</t>
  </si>
  <si>
    <t>Ella adorna la obra con magníficos decorados.</t>
  </si>
  <si>
    <t>offenser</t>
  </si>
  <si>
    <t>Ses paroles ont offensé ses collègues.</t>
  </si>
  <si>
    <t>Sus palabras ofendieron a sus colegas.</t>
  </si>
  <si>
    <t>aplanir</t>
  </si>
  <si>
    <t>Il aplanit la route pour faciliter la circulation.</t>
  </si>
  <si>
    <t>Aplana la calzada para facilitar el tráfico.</t>
  </si>
  <si>
    <t>déverrouiller</t>
  </si>
  <si>
    <t>Elle déverrouille la porte avec sa clé.</t>
  </si>
  <si>
    <t>Ella abre la puerta con su llave.</t>
  </si>
  <si>
    <t>se récrier</t>
  </si>
  <si>
    <t>Elle se récrie devant l'injustice de la décision.</t>
  </si>
  <si>
    <t>Ella protesta por la injusticia de la decisión.</t>
  </si>
  <si>
    <t>parrainer</t>
  </si>
  <si>
    <t>Ils parrainent un enfant dans le besoin.</t>
  </si>
  <si>
    <t>Apadrinan a un niño necesitado.</t>
  </si>
  <si>
    <t>étalonner</t>
  </si>
  <si>
    <t>Il étalonne l'instrument de mesure avec précision.</t>
  </si>
  <si>
    <t>Calibra el instrumento de medición con precisión.</t>
  </si>
  <si>
    <t>reconduire</t>
  </si>
  <si>
    <t>Ils reconduisent le contrat pour une année supplémentaire.</t>
  </si>
  <si>
    <t>Renuevan el contrato por un año más.</t>
  </si>
  <si>
    <t>parcheminer</t>
  </si>
  <si>
    <t>Il parchemine le diplôme avec un sceau officiel.</t>
  </si>
  <si>
    <t>Pergamino el diploma con un sello oficial.</t>
  </si>
  <si>
    <t>confisquer</t>
  </si>
  <si>
    <t>La police confisque les armes illégales.</t>
  </si>
  <si>
    <t>La policía confisca armas ilegales.</t>
  </si>
  <si>
    <t>occasionner</t>
  </si>
  <si>
    <t>Le mauvais temps occasionne des retards dans les transports.</t>
  </si>
  <si>
    <t>El mal tiempo provoca retrasos en el transporte.</t>
  </si>
  <si>
    <t>supplier</t>
  </si>
  <si>
    <t>Elle supplie ses parents de la laisser aller à la fête.</t>
  </si>
  <si>
    <t>Ella les ruega a sus padres que la dejen ir a la fiesta.</t>
  </si>
  <si>
    <t>bayer</t>
  </si>
  <si>
    <t>Il bâille d'ennui pendant la réunion.</t>
  </si>
  <si>
    <t>Bosteza de aburrimiento durante la reunión.</t>
  </si>
  <si>
    <t>pacager</t>
  </si>
  <si>
    <t>Ils pacagent les vaches dans les prés verdoyants.</t>
  </si>
  <si>
    <t>Pastan las vacas en los prados verdes.</t>
  </si>
  <si>
    <t>doser</t>
  </si>
  <si>
    <t>Elle dose les ingrédients avec précision pour la recette.</t>
  </si>
  <si>
    <t>Mide los ingredientes con precisión para la receta.</t>
  </si>
  <si>
    <t>manier</t>
  </si>
  <si>
    <t>Il manie habilement le marteau pour clouer les planches.</t>
  </si>
  <si>
    <t>Utiliza hábilmente el martillo para clavar las tablas.</t>
  </si>
  <si>
    <t>imprégner</t>
  </si>
  <si>
    <t>Le parfum du jasmin imprègne l'air du soir.</t>
  </si>
  <si>
    <t>El aroma del jazmín impregna el aire de la noche.</t>
  </si>
  <si>
    <t>migrer</t>
  </si>
  <si>
    <t>Les oiseaux migrent vers des climats plus chauds en hiver.</t>
  </si>
  <si>
    <t>Las aves migran a climas más cálidos en invierno.</t>
  </si>
  <si>
    <t>entrevoir</t>
  </si>
  <si>
    <t>Il entrevoit une solution au problème complexe.</t>
  </si>
  <si>
    <t>Él ve una solución al complejo problema.</t>
  </si>
  <si>
    <t>microfilmer</t>
  </si>
  <si>
    <t>Ils microfilment les archives pour une conservation à long terme.</t>
  </si>
  <si>
    <t>Microfilman los archivos para su preservación a largo plazo.</t>
  </si>
  <si>
    <t>remanier</t>
  </si>
  <si>
    <t>Elle remanie son discours pour le rendre plus convaincant.</t>
  </si>
  <si>
    <t>Modifica su discurso para hacerlo más convincente.</t>
  </si>
  <si>
    <t>redécouvrir</t>
  </si>
  <si>
    <t>Ils redécouvrent un manuscrit ancien dans les archives.</t>
  </si>
  <si>
    <t>Redescubren un antiguo manuscrito en los archivos.</t>
  </si>
  <si>
    <t>clôturer</t>
  </si>
  <si>
    <t>Il clôture la vente avec un accord satisfaisant pour toutes les parties.</t>
  </si>
  <si>
    <t>Cierra la venta con un acuerdo satisfactorio para todas las partes.</t>
  </si>
  <si>
    <t>renouer</t>
  </si>
  <si>
    <t>Ils renouent leur amitié après des années de séparation.</t>
  </si>
  <si>
    <t>Renuevan su amistad después de años de separación.</t>
  </si>
  <si>
    <t>camper</t>
  </si>
  <si>
    <t>Ils campent près du lac pendant les vacances d'été.</t>
  </si>
  <si>
    <t>Acampan cerca del lago durante las vacaciones de verano.</t>
  </si>
  <si>
    <t>découler</t>
  </si>
  <si>
    <t>Les conséquences de cette politique découlent de décisions antérieures.</t>
  </si>
  <si>
    <t>Las consecuencias de esta política se derivan de decisiones anteriores.</t>
  </si>
  <si>
    <t>grossir</t>
  </si>
  <si>
    <t>Le volume de ses muscles a grossi après des mois d'entraînement intensif.</t>
  </si>
  <si>
    <t>El volumen de sus músculos creció después de meses de entrenamiento intensivo.</t>
  </si>
  <si>
    <t>gratter</t>
  </si>
  <si>
    <t>Elle gratte doucement la tête de son chien.</t>
  </si>
  <si>
    <t>Rasca suavemente la cabeza de su perro.</t>
  </si>
  <si>
    <t>caoutchouter</t>
  </si>
  <si>
    <t>Il caoutchoute les roues du véhicule pour une meilleure adhérence.</t>
  </si>
  <si>
    <t>Recubre de goma las ruedas del vehículo para un mejor agarre.</t>
  </si>
  <si>
    <t>vanter</t>
  </si>
  <si>
    <t>Il vante ses compétences lors de l'entretien d'embauche.</t>
  </si>
  <si>
    <t>Se jacta de sus habilidades durante la entrevista de trabajo.</t>
  </si>
  <si>
    <t>troubler</t>
  </si>
  <si>
    <t>Sa disparition subite trouble tous ses proches.</t>
  </si>
  <si>
    <t>Su repentina desaparición inquieta a todos sus allegados.</t>
  </si>
  <si>
    <t>réactiver</t>
  </si>
  <si>
    <t>Ils réactivent le projet après des mois de suspension.</t>
  </si>
  <si>
    <t>Reactivan el proyecto luego de meses de suspensión.</t>
  </si>
  <si>
    <t>assujettir</t>
  </si>
  <si>
    <t>Il assujettit le cheval pour le préparer à la monte.</t>
  </si>
  <si>
    <t>Ata el caballo para prepararlo para montar.</t>
  </si>
  <si>
    <t>abonner</t>
  </si>
  <si>
    <t>Ils s'abonnent à plusieurs magazines pour rester informés.</t>
  </si>
  <si>
    <t>Se suscriben a varias revistas para mantenerse informados.</t>
  </si>
  <si>
    <t>patienter</t>
  </si>
  <si>
    <t>Il patiente calmement dans la salle d'attente.</t>
  </si>
  <si>
    <t>Espera tranquilamente en la sala de espera.</t>
  </si>
  <si>
    <t>succéder</t>
  </si>
  <si>
    <t>Elle succède à son père à la tête de l'entreprise familiale.</t>
  </si>
  <si>
    <t>Sucede a su padre al frente del negocio familiar.</t>
  </si>
  <si>
    <t>tanner</t>
  </si>
  <si>
    <t>Il tanne le cuir pour en faire des sacs et des ceintures.</t>
  </si>
  <si>
    <t>Curte cuero para hacer bolsos y cinturones.</t>
  </si>
  <si>
    <t>mâcher</t>
  </si>
  <si>
    <t>Elle mâche lentement sa nourriture pour bien la savourer.</t>
  </si>
  <si>
    <t>Mastica su comida lentamente para saborearla adecuadamente.</t>
  </si>
  <si>
    <t>tremper</t>
  </si>
  <si>
    <t>Il trempe le pinceau dans la peinture avant de commencer à peindre.</t>
  </si>
  <si>
    <t>Moja el pincel en la pintura antes de empezar a pintar.</t>
  </si>
  <si>
    <t>fouger</t>
  </si>
  <si>
    <t>Ils fougent la terre pour planter les nouvelles graines.</t>
  </si>
  <si>
    <t>Excavan la tierra para plantar nuevas semillas.</t>
  </si>
  <si>
    <t>échantillonner</t>
  </si>
  <si>
    <t>Il échantillonne les opinions des consommateurs pour améliorer le produit.</t>
  </si>
  <si>
    <t>Muestra las opiniones de los consumidores para mejorar el producto.</t>
  </si>
  <si>
    <t>contre-plaquer</t>
  </si>
  <si>
    <t>Ils contre-plaquent le bois pour construire un nouveau meuble.</t>
  </si>
  <si>
    <t>Contrachapan la madera para construir un nuevo mueble.</t>
  </si>
  <si>
    <t>rediriger</t>
  </si>
  <si>
    <t>Elle redirige les appels vers le service clientèle.</t>
  </si>
  <si>
    <t>Ella redirige las llamadas al servicio de atención al cliente.</t>
  </si>
  <si>
    <t>chevaler</t>
  </si>
  <si>
    <t>Il chevale son adversaire lors du tournoi d'échecs.</t>
  </si>
  <si>
    <t>Monta a su oponente durante el torneo de ajedrez.</t>
  </si>
  <si>
    <t>répertorier</t>
  </si>
  <si>
    <t>Ils répertorient toutes les espèces d'oiseaux observées dans la région.</t>
  </si>
  <si>
    <t>Enumera todas las especies de aves observadas en la zona.</t>
  </si>
  <si>
    <t>enfiler</t>
  </si>
  <si>
    <t>Elle enfile son manteau avant de sortir dans le froid.</t>
  </si>
  <si>
    <t>Se pone el abrigo antes de salir al frío.</t>
  </si>
  <si>
    <t>réconforter</t>
  </si>
  <si>
    <t>Il réconforte son ami après une déception amoureuse.</t>
  </si>
  <si>
    <t>Consuela a su amigo después de una decepción romántica.</t>
  </si>
  <si>
    <t>assortir</t>
  </si>
  <si>
    <t>Ils assortissent les couleurs pour créer une harmonie dans la décoration.</t>
  </si>
  <si>
    <t>Combinan colores para crear armonía en la decoración.</t>
  </si>
  <si>
    <t>séquencer</t>
  </si>
  <si>
    <t>Les scientifiques séquencent l'ADN pour comprendre la génétique.</t>
  </si>
  <si>
    <t>Los científicos secuencian el ADN para comprender la genética.</t>
  </si>
  <si>
    <t>sous-exploiter</t>
  </si>
  <si>
    <t>Il ne faut pas sous-exploiter les ressources naturelles.</t>
  </si>
  <si>
    <t>No se deben subexplotar los recursos naturales.</t>
  </si>
  <si>
    <t>provenir</t>
  </si>
  <si>
    <t>D'où proviennent ces étranges bruits la nuit ?</t>
  </si>
  <si>
    <t>¿De dónde vienen estos ruidos extraños por la noche?</t>
  </si>
  <si>
    <t>digérer</t>
  </si>
  <si>
    <t>Elle a du mal à digérer les aliments épicés.</t>
  </si>
  <si>
    <t>Tiene dificultad para digerir las comidas picantes.</t>
  </si>
  <si>
    <t>réhabiliter</t>
  </si>
  <si>
    <t>Le gouvernement travaille à réhabiliter les quartiers défavorisés.</t>
  </si>
  <si>
    <t>El gobierno está trabajando para rehabilitar los barrios desfavorecidos.</t>
  </si>
  <si>
    <t>abuser</t>
  </si>
  <si>
    <t>Il ne faut pas abuser de la confiance des autres.</t>
  </si>
  <si>
    <t>No debes abusar de la confianza de los demás.</t>
  </si>
  <si>
    <t>crépir</t>
  </si>
  <si>
    <t>Ils vont crépir les murs de la maison avec un enduit coloré.</t>
  </si>
  <si>
    <t>Enlucirán las paredes de la casa con una capa de color.</t>
  </si>
  <si>
    <t>articuler</t>
  </si>
  <si>
    <t>Elle articule clairement chaque mot lorsqu'elle parle en public.</t>
  </si>
  <si>
    <t>Enuncia claramente cada palabra cuando habla en público.</t>
  </si>
  <si>
    <t>persister</t>
  </si>
  <si>
    <t>Malgré les difficultés, il persiste dans ses efforts pour réussir.</t>
  </si>
  <si>
    <t>A pesar de las dificultades, persistió en sus esfuerzos por triunfar.</t>
  </si>
  <si>
    <t>coïncider</t>
  </si>
  <si>
    <t>La date de son anniversaire coïncide avec la fête nationale.</t>
  </si>
  <si>
    <t>La fecha de su cumpleaños coincide con la fiesta nacional.</t>
  </si>
  <si>
    <t>déluter</t>
  </si>
  <si>
    <t>Il faut déluter la peinture pour obtenir la bonne texture.</t>
  </si>
  <si>
    <t>Tienes que diluir la pintura para conseguir la textura adecuada.</t>
  </si>
  <si>
    <t>redistribuer</t>
  </si>
  <si>
    <t>Le gouvernement doit redistribuer les richesses plus équitablement.</t>
  </si>
  <si>
    <t>El gobierno debe redistribuir la riqueza de manera más equitativa.</t>
  </si>
  <si>
    <t>réinitialiser</t>
  </si>
  <si>
    <t>Il doit réinitialiser son téléphone pour résoudre les problèmes.</t>
  </si>
  <si>
    <t>Tiene que reiniciar su teléfono para solucionar los problemas.</t>
  </si>
  <si>
    <t>légitimer</t>
  </si>
  <si>
    <t>Ils cherchent à légitimer leur revendication auprès des autorités.</t>
  </si>
  <si>
    <t>Buscan legitimar su reclamo ante las autoridades.</t>
  </si>
  <si>
    <t>booster</t>
  </si>
  <si>
    <t>Ce produit aide à booster la croissance des plantes.</t>
  </si>
  <si>
    <t>Este producto ayuda a impulsar el crecimiento de las plantas.</t>
  </si>
  <si>
    <t>licencier</t>
  </si>
  <si>
    <t>L'entreprise va licencier plusieurs employés pour réduire les coûts.</t>
  </si>
  <si>
    <t>La empresa despedirá a varios empleados para reducir costes.</t>
  </si>
  <si>
    <t>bavarder</t>
  </si>
  <si>
    <t>Ils bavardent joyeusement autour d'une tasse de café.</t>
  </si>
  <si>
    <t>Charlan alegremente mientras toman una taza de café.</t>
  </si>
  <si>
    <t>inculper</t>
  </si>
  <si>
    <t>Le procureur décide de l'inculper pour fraude fiscale.</t>
  </si>
  <si>
    <t>El fiscal decide acusarlo de fraude fiscal.</t>
  </si>
  <si>
    <t>archiver</t>
  </si>
  <si>
    <t>Il faut archiver ces documents importants pour les conserver.</t>
  </si>
  <si>
    <t>Estos documentos importantes deben archivarse para preservarlos.</t>
  </si>
  <si>
    <t>fléchir</t>
  </si>
  <si>
    <t>Il fléchit ses genoux avant de sauter par-dessus le mur.</t>
  </si>
  <si>
    <t>Dobló las rodillas antes de saltar la pared.</t>
  </si>
  <si>
    <t>sonder</t>
  </si>
  <si>
    <t>Les chercheurs sondent l'opinion publique sur les politiques gouvernementales.</t>
  </si>
  <si>
    <t>Los investigadores encuestan la opinión pública sobre las políticas gubernamentales.</t>
  </si>
  <si>
    <t>s'adonner</t>
  </si>
  <si>
    <t>Il s'adonne à la peinture pendant son temps libre.</t>
  </si>
  <si>
    <t>Le gusta pintar en su tiempo libre.</t>
  </si>
  <si>
    <t>balader</t>
  </si>
  <si>
    <t>Pendant les vacances, ils se baladent le long de la plage.</t>
  </si>
  <si>
    <t>Durante las vacaciones caminan por la playa.</t>
  </si>
  <si>
    <t>skier</t>
  </si>
  <si>
    <t>Ils skient dans les Alpes chaque hiver.</t>
  </si>
  <si>
    <t>Esquían en los Alpes todos los inviernos.</t>
  </si>
  <si>
    <t>rapatrier</t>
  </si>
  <si>
    <t>Le gouvernement rapatrie ses ressortissants bloqués à l'étranger.</t>
  </si>
  <si>
    <t>El gobierno está repatriando a sus ciudadanos varados en el extranjero.</t>
  </si>
  <si>
    <t>classifier</t>
  </si>
  <si>
    <t>Elle travaille à classifier les espèces de papillons.</t>
  </si>
  <si>
    <t>Trabaja para clasificar especies de mariposas.</t>
  </si>
  <si>
    <t>exagérer</t>
  </si>
  <si>
    <t>Ne pas exagérer les faits dans votre rapport.</t>
  </si>
  <si>
    <t>No exagere los hechos en su informe.</t>
  </si>
  <si>
    <t>sombrer</t>
  </si>
  <si>
    <t>L'économie du pays semble sombrer dans une récession.</t>
  </si>
  <si>
    <t>La economía del país parece estar cayendo en una recesión.</t>
  </si>
  <si>
    <t>dégrader</t>
  </si>
  <si>
    <t>Les pluies acides peuvent dégrader les monuments historiques.</t>
  </si>
  <si>
    <t>La lluvia ácida puede dañar los monumentos históricos.</t>
  </si>
  <si>
    <t>parachever</t>
  </si>
  <si>
    <t>Il faut parachever ce projet avant la fin de la semaine.</t>
  </si>
  <si>
    <t>Este proyecto debe estar terminado antes del final de la semana.</t>
  </si>
  <si>
    <t>résilier</t>
  </si>
  <si>
    <t>Les clients peuvent résilier leur contrat à tout moment.</t>
  </si>
  <si>
    <t>Los clientes pueden cancelar su contrato en cualquier momento.</t>
  </si>
  <si>
    <t>protester</t>
  </si>
  <si>
    <t>Ils décident de protester contre la hausse des prix.</t>
  </si>
  <si>
    <t>Deciden protestar contra el aumento de precios.</t>
  </si>
  <si>
    <t>chroniquer</t>
  </si>
  <si>
    <t>Il chronique les événements politiques dans son journal.</t>
  </si>
  <si>
    <t>Narra los acontecimientos políticos en su diario.</t>
  </si>
  <si>
    <t>tricher</t>
  </si>
  <si>
    <t>Tricher aux examens peut entraîner des conséquences graves.</t>
  </si>
  <si>
    <t>Hacer trampa en los exámenes puede tener graves consecuencias.</t>
  </si>
  <si>
    <t>épauler</t>
  </si>
  <si>
    <t>Elle l'épaule dans son projet de déménagement.</t>
  </si>
  <si>
    <t>Ella lo apoya en su proyecto de mudanza.</t>
  </si>
  <si>
    <t>confesser</t>
  </si>
  <si>
    <t>Il avoue finalement son erreur et se confesse à ses amis.</t>
  </si>
  <si>
    <t>Finalmente admite su error y se lo confiesa a sus amigos.</t>
  </si>
  <si>
    <t>corner</t>
  </si>
  <si>
    <t>Le coq cornait à l'aube.</t>
  </si>
  <si>
    <t>El gallo tocaba sus cuernos al amanecer.</t>
  </si>
  <si>
    <t>trembler</t>
  </si>
  <si>
    <t>Elle tremble de froid malgré son manteau épais.</t>
  </si>
  <si>
    <t>Está tiritando de frío a pesar de su grueso pelaje.</t>
  </si>
  <si>
    <t>boulanger</t>
  </si>
  <si>
    <t>Le boulanger prépare du pain frais tous les matins.</t>
  </si>
  <si>
    <t>El panadero prepara pan recién hecho todas las mañanas.</t>
  </si>
  <si>
    <t>raccrocher</t>
  </si>
  <si>
    <t>Elle raccroche brusquement le téléphone en colère.</t>
  </si>
  <si>
    <t>Ella cuelga abruptamente el teléfono enojada.</t>
  </si>
  <si>
    <t>tancer</t>
  </si>
  <si>
    <t>Le professeur tance sévèrement l'élève pour son comportement.</t>
  </si>
  <si>
    <t>El profesor regaña severamente al alumno por su comportamiento.</t>
  </si>
  <si>
    <t>tisser</t>
  </si>
  <si>
    <t>Elle tisse une belle écharpe pour l'hiver.</t>
  </si>
  <si>
    <t>Teje una hermosa bufanda para el invierno.</t>
  </si>
  <si>
    <t>requérir</t>
  </si>
  <si>
    <t>Ils requièrent l'aide des secours après l'accident.</t>
  </si>
  <si>
    <t>Requieren ayuda de los servicios de emergencia tras el accidente.</t>
  </si>
  <si>
    <t>étrangler</t>
  </si>
  <si>
    <t>Le criminel tente de l'étrangler lors de l'altercation.</t>
  </si>
  <si>
    <t>El criminal intenta estrangularlo durante el altercado.</t>
  </si>
  <si>
    <t>tarder</t>
  </si>
  <si>
    <t>Ne tardez pas à rendre ce devoir important.</t>
  </si>
  <si>
    <t>No tardes en darle importancia a esta tarea.</t>
  </si>
  <si>
    <t>alourdir</t>
  </si>
  <si>
    <t>Ces lourds sacs alourdissent ses épaules.</t>
  </si>
  <si>
    <t>Estas pesadas bolsas pesan sobre sus hombros.</t>
  </si>
  <si>
    <t>cotiser</t>
  </si>
  <si>
    <t>Ils doivent cotiser pour leur régime de retraite.</t>
  </si>
  <si>
    <t>Deben contribuir a su plan de jubilación.</t>
  </si>
  <si>
    <t>discréditer</t>
  </si>
  <si>
    <t>Les rumeurs infondées ont commencé à le décréditer auprès de ses collègues.</t>
  </si>
  <si>
    <t>Rumores infundados comenzaron a desacreditarlo entre sus colegas.</t>
  </si>
  <si>
    <t>fausser</t>
  </si>
  <si>
    <t>Il ne faut pas fausser les faits pour soutenir une théorie.</t>
  </si>
  <si>
    <t>No debemos distorsionar los hechos para apoyar una teoría.</t>
  </si>
  <si>
    <t>soupçonner</t>
  </si>
  <si>
    <t>Elle soupçonne son voisin de voler ses outils.</t>
  </si>
  <si>
    <t>Sospecha que su vecino le roba las herramientas.</t>
  </si>
  <si>
    <t>saboter</t>
  </si>
  <si>
    <t>Les saboteurs ont saboté la ligne électrique du quartier.</t>
  </si>
  <si>
    <t>Los saboteadores sabotearon la línea eléctrica del barrio.</t>
  </si>
  <si>
    <t>égaliser</t>
  </si>
  <si>
    <t>L'équipe cherche à égaliser le score avant la fin du match.</t>
  </si>
  <si>
    <t>El equipo busca empatar el marcador antes del final del partido.</t>
  </si>
  <si>
    <t>conforter</t>
  </si>
  <si>
    <t>Ses amis la confortent après la perte de son animal de compagnie.</t>
  </si>
  <si>
    <t>Sus amigos la consuelan tras la pérdida de su mascota.</t>
  </si>
  <si>
    <t>engourdir</t>
  </si>
  <si>
    <t>Ses doigts sont engourdis par le froid glacial.</t>
  </si>
  <si>
    <t>Sus dedos están entumecidos por el frío glacial.</t>
  </si>
  <si>
    <t>choper</t>
  </si>
  <si>
    <t>Il essaie de choper le bus avant qu'il ne parte.</t>
  </si>
  <si>
    <t>Está intentando coger el autobús antes de que parta.</t>
  </si>
  <si>
    <t>subordonner</t>
  </si>
  <si>
    <t>Les managers subordonnent leurs actions aux directives de la direction.</t>
  </si>
  <si>
    <t>Los directivos subordinan sus acciones a las instrucciones de la dirección.</t>
  </si>
  <si>
    <t>empoisonner</t>
  </si>
  <si>
    <t>Certaines plantes peuvent empoisonner les animaux domestiques.</t>
  </si>
  <si>
    <t>Algunas plantas pueden envenenar a las mascotas.</t>
  </si>
  <si>
    <t>influer</t>
  </si>
  <si>
    <t>Ses paroles ont influé sur ma décision finale.</t>
  </si>
  <si>
    <t>Sus palabras influyeron en mi decisión final.</t>
  </si>
  <si>
    <t>renaître</t>
  </si>
  <si>
    <t>Après des années difficiles, l'entreprise renaît sous une nouvelle direction.</t>
  </si>
  <si>
    <t>Después de años difíciles, la empresa renace bajo una nueva dirección.</t>
  </si>
  <si>
    <t>se contrebalancer</t>
  </si>
  <si>
    <t>Les forces en présence se contrebalancent dans cette région instable.</t>
  </si>
  <si>
    <t>Las fuerzas presentes se contrarrestan entre sí en esta región inestable.</t>
  </si>
  <si>
    <t>relayer</t>
  </si>
  <si>
    <t>Il relaie les informations importantes à ses collègues.</t>
  </si>
  <si>
    <t>Transmite información importante a sus colegas.</t>
  </si>
  <si>
    <t>coexister</t>
  </si>
  <si>
    <t>Les différentes communautés coexistent pacifiquement dans ce quartier.</t>
  </si>
  <si>
    <t>En este distrito conviven pacíficamente las diferentes comunidades.</t>
  </si>
  <si>
    <t>cordeler</t>
  </si>
  <si>
    <t>Il cordèle les fils électriques avec soin pour éviter les courts-circuits.</t>
  </si>
  <si>
    <t>Encadena los cables eléctricos con cuidado para evitar cortocircuitos.</t>
  </si>
  <si>
    <t>propulser</t>
  </si>
  <si>
    <t>Ce moteur propulse la voiture à une vitesse impressionnante.</t>
  </si>
  <si>
    <t>Este motor impulsa el coche a una velocidad impresionante.</t>
  </si>
  <si>
    <t>jurer</t>
  </si>
  <si>
    <t>Il jure de dire toute la vérité devant le tribunal.</t>
  </si>
  <si>
    <t>Jura decir toda la verdad en el tribunal.</t>
  </si>
  <si>
    <t>rondir</t>
  </si>
  <si>
    <t>La lune rondit doucement dans le ciel nocturne.</t>
  </si>
  <si>
    <t>La luna gira suavemente en el cielo nocturno.</t>
  </si>
  <si>
    <t>hacker</t>
  </si>
  <si>
    <t>Il a réussi à hacker le système informatique en utilisant des techniques avancées.</t>
  </si>
  <si>
    <t>Logró piratear el sistema informático utilizando técnicas avanzadas.</t>
  </si>
  <si>
    <t>pourrir</t>
  </si>
  <si>
    <t>Les fruits commencent à pourrir après avoir été laissés dehors.</t>
  </si>
  <si>
    <t>Las frutas comienzan a pudrirse después de dejarlas al aire libre.</t>
  </si>
  <si>
    <t>candir</t>
  </si>
  <si>
    <t>Ils candissent les fruits pour en faire des friandises pour Noël.</t>
  </si>
  <si>
    <t>Endulzan la fruta para hacer dulces para Navidad.</t>
  </si>
  <si>
    <t>empiler</t>
  </si>
  <si>
    <t>Ils empilent les boîtes dans l'entrepôt pour économiser de l'espace.</t>
  </si>
  <si>
    <t>Apilan cajas en el almacén para ahorrar espacio.</t>
  </si>
  <si>
    <t>rayer</t>
  </si>
  <si>
    <t>Elle rayera son nom de la liste des participants.</t>
  </si>
  <si>
    <t>Eliminará su nombre de la lista de participantes.</t>
  </si>
  <si>
    <t>irradier</t>
  </si>
  <si>
    <t>Le soleil irradie de chaleur pendant l'été.</t>
  </si>
  <si>
    <t>El sol irradia calor durante el verano.</t>
  </si>
  <si>
    <t>révérer</t>
  </si>
  <si>
    <t>Ils révèrent leurs ancêtres à travers des rituels traditionnels.</t>
  </si>
  <si>
    <t>Veneran a sus antepasados ​​a través de rituales tradicionales.</t>
  </si>
  <si>
    <t>vaguer</t>
  </si>
  <si>
    <t>Elle vague sans but sur la plage, profitant du soleil.</t>
  </si>
  <si>
    <t>Deambula sin rumbo por la playa, disfrutando del sol.</t>
  </si>
  <si>
    <t>escorter</t>
  </si>
  <si>
    <t>Ils escortent le président lors de sa visite officielle à l'étranger.</t>
  </si>
  <si>
    <t>Acompañan al presidente durante su visita oficial al extranjero.</t>
  </si>
  <si>
    <t>répliquer</t>
  </si>
  <si>
    <t>Il réplique avec fermeté à toutes les critiques.</t>
  </si>
  <si>
    <t>Responde con firmeza a todas las críticas.</t>
  </si>
  <si>
    <t>réinventer</t>
  </si>
  <si>
    <t>Ils réinventent le concept de mobilité urbaine avec ce nouveau projet.</t>
  </si>
  <si>
    <t>Con este nuevo proyecto reinventan el concepto de movilidad urbana.</t>
  </si>
  <si>
    <t>osciller</t>
  </si>
  <si>
    <t>Le pendule oscille doucement d'avant en arrière.</t>
  </si>
  <si>
    <t>El péndulo oscila suavemente hacia adelante y hacia atrás.</t>
  </si>
  <si>
    <t>privatiser</t>
  </si>
  <si>
    <t>Le gouvernement décide de privatiser certaines entreprises publiques.</t>
  </si>
  <si>
    <t>El gobierno decide privatizar determinadas empresas públicas.</t>
  </si>
  <si>
    <t>émigrer</t>
  </si>
  <si>
    <t>Ils envisagent d'émigrer vers un pays offrant de meilleures opportunités.</t>
  </si>
  <si>
    <t>Planean emigrar a un país con mejores oportunidades.</t>
  </si>
  <si>
    <t>singer</t>
  </si>
  <si>
    <t>Il aime singer les célébrités lors des soirées déguisées.</t>
  </si>
  <si>
    <t>Le gusta imitar a las celebridades en las fiestas de disfraces.</t>
  </si>
  <si>
    <t>interconnecter</t>
  </si>
  <si>
    <t>Ils interconnectent les réseaux informatiques pour une meilleure efficacité.</t>
  </si>
  <si>
    <t>Interconectan redes informáticas para una mayor eficiencia.</t>
  </si>
  <si>
    <t>réaffecter</t>
  </si>
  <si>
    <t>Ils réaffectent les ressources vers des projets plus prioritaires.</t>
  </si>
  <si>
    <t>Reasignan recursos a proyectos de mayor prioridad.</t>
  </si>
  <si>
    <t>raccompagner</t>
  </si>
  <si>
    <t>Il raccompagne ses amis à la gare après leur visite.</t>
  </si>
  <si>
    <t>Acompaña a sus amigos a la estación después de su visita.</t>
  </si>
  <si>
    <t>grouper</t>
  </si>
  <si>
    <t>Ils groupent leurs forces pour affronter l'adversité.</t>
  </si>
  <si>
    <t>Unen sus fuerzas para afrontar la adversidad.</t>
  </si>
  <si>
    <t>épicer</t>
  </si>
  <si>
    <t>Elle épice son plat avec une pincée de piment.</t>
  </si>
  <si>
    <t>Condimenta su plato con una pizca de ají.</t>
  </si>
  <si>
    <t>colorer</t>
  </si>
  <si>
    <t>Elle colorera le dessin avec des crayons vifs et lumineux.</t>
  </si>
  <si>
    <t>Ella coloreará el dibujo con lápices vivos y brillantes.</t>
  </si>
  <si>
    <t>vaporiser</t>
  </si>
  <si>
    <t>Il vaporise le parfum sur ses vêtements avant de sortir.</t>
  </si>
  <si>
    <t>Rocía el perfume en su ropa antes de salir.</t>
  </si>
  <si>
    <t>modeler</t>
  </si>
  <si>
    <t>Elle modèle l'argile pour créer une sculpture originale.</t>
  </si>
  <si>
    <t>Modela arcilla para crear una escultura original.</t>
  </si>
  <si>
    <t>raguer</t>
  </si>
  <si>
    <t>Il raguera les légumes pour accompagner les pâtes.</t>
  </si>
  <si>
    <t>Guisará verduras para acompañar la pasta.</t>
  </si>
  <si>
    <t>mouiller</t>
  </si>
  <si>
    <t>Ne mouillez pas vos chaussures en traversant la rivière.</t>
  </si>
  <si>
    <t>No mojes tus zapatos al cruzar el río.</t>
  </si>
  <si>
    <t>daguer</t>
  </si>
  <si>
    <t>Il daguera les tissus avant de les coudre.</t>
  </si>
  <si>
    <t>Clavará las telas antes de coserlas.</t>
  </si>
  <si>
    <t>décerner</t>
  </si>
  <si>
    <t>Ils décerneront le prix du meilleur film lors de la cérémonie.</t>
  </si>
  <si>
    <t>Durante la ceremonia entregarán el premio a la mejor película.</t>
  </si>
  <si>
    <t>mixer</t>
  </si>
  <si>
    <t>Elle mixe les ingrédients pour préparer le smoothie.</t>
  </si>
  <si>
    <t>Mezcla los ingredientes para preparar el batido.</t>
  </si>
  <si>
    <t>débourser</t>
  </si>
  <si>
    <t>Il doit débourser une somme importante pour réparer sa voiture.</t>
  </si>
  <si>
    <t>Tiene que pagar una gran suma para reparar su coche.</t>
  </si>
  <si>
    <t>pirater</t>
  </si>
  <si>
    <t>Les pirates informatiques tentent de pirater le système de sécurité.</t>
  </si>
  <si>
    <t>Los piratas informáticos están intentando piratear el sistema de seguridad.</t>
  </si>
  <si>
    <t>cracher</t>
  </si>
  <si>
    <t>Ne crache pas sur le trottoir, c'est impoli.</t>
  </si>
  <si>
    <t>No escupas en la acera, es de mala educación.</t>
  </si>
  <si>
    <t>foncer</t>
  </si>
  <si>
    <t>Il fonce vers la ligne d'arrivée pour remporter la course.</t>
  </si>
  <si>
    <t>Corre hacia la línea de meta para ganar la carrera.</t>
  </si>
  <si>
    <t>juguler</t>
  </si>
  <si>
    <t>Il faut juguler cette épidémie avant qu'elle ne se propage davantage.</t>
  </si>
  <si>
    <t>Debemos detener esta epidemia antes de que se propague más.</t>
  </si>
  <si>
    <t>lock-outer</t>
  </si>
  <si>
    <t>Le syndicat décide de lock-outer les employés en grève.</t>
  </si>
  <si>
    <t>El sindicato decide bloquear a los empleados en huelga.</t>
  </si>
  <si>
    <t>cartographier</t>
  </si>
  <si>
    <t>Les explorateurs ont cartographié toutes les îles de l'archipel.</t>
  </si>
  <si>
    <t>Los exploradores cartografiaron todas las islas del archipiélago.</t>
  </si>
  <si>
    <t>lister</t>
  </si>
  <si>
    <t>Avant de partir en vacances, elle a listé tous les objets à emporter.</t>
  </si>
  <si>
    <t>Antes de irse de vacaciones, enumeró todos los artículos que debía llevar.</t>
  </si>
  <si>
    <t>amasser</t>
  </si>
  <si>
    <t>Il a amassé une petite fortune grâce à ses investissements.</t>
  </si>
  <si>
    <t>Ha amasado una pequeña fortuna gracias a sus inversiones.</t>
  </si>
  <si>
    <t>attarder</t>
  </si>
  <si>
    <t>Ne t'attarde pas trop sur les détails, nous avons peu de temps.</t>
  </si>
  <si>
    <t>No te dejes atrapar por los detalles, no tenemos mucho tiempo.</t>
  </si>
  <si>
    <t>étiqueter</t>
  </si>
  <si>
    <t>N'oublie pas d'étiqueter toutes les boîtes avant de les ranger.</t>
  </si>
  <si>
    <t>No olvides etiquetar todas las cajas antes de guardarlas.</t>
  </si>
  <si>
    <t>rattacher</t>
  </si>
  <si>
    <t>Il a dû rattacher les fils électriques après la tempête.</t>
  </si>
  <si>
    <t>Tuvo que volver a conectar los cables eléctricos después de la tormenta.</t>
  </si>
  <si>
    <t>béquer</t>
  </si>
  <si>
    <t>Les oisillons béquaient fort pour réclamer leur nourriture.</t>
  </si>
  <si>
    <t>Los polluelos picoteaban ruidosamente para exigir su alimento.</t>
  </si>
  <si>
    <t>surpasser</t>
  </si>
  <si>
    <t>Elle a surpassé toutes les attentes lors de sa présentation.</t>
  </si>
  <si>
    <t>Superó todas las expectativas durante su presentación.</t>
  </si>
  <si>
    <t>déjouer</t>
  </si>
  <si>
    <t>Les policiers ont réussi à déjouer le plan des criminels.</t>
  </si>
  <si>
    <t>La policía logró frustrar el plan de los delincuentes.</t>
  </si>
  <si>
    <t>salir</t>
  </si>
  <si>
    <t>Fais attention de ne pas salir tes vêtements en jouant dehors.</t>
  </si>
  <si>
    <t>Tenga cuidado de no ensuciarse la ropa mientras juega al aire libre.</t>
  </si>
  <si>
    <t>accoupler</t>
  </si>
  <si>
    <t>Les éleveurs ont accouplé les chevaux pour la saison.</t>
  </si>
  <si>
    <t>Los criadores criaron los caballos para la temporada.</t>
  </si>
  <si>
    <t>déjeter</t>
  </si>
  <si>
    <t>Avant de planter les fleurs, il faut déjeter le sol.</t>
  </si>
  <si>
    <t>Antes de plantar las flores, se debe aflojar la tierra.</t>
  </si>
  <si>
    <t>omettre</t>
  </si>
  <si>
    <t>Il ne faut jamais omettre les détails importants dans un rapport.</t>
  </si>
  <si>
    <t>Nunca debes omitir detalles importantes en un informe.</t>
  </si>
  <si>
    <t>baser</t>
  </si>
  <si>
    <t>Ce roman est basé sur une histoire vraie.</t>
  </si>
  <si>
    <t>Esta novela está basada en una historia real.</t>
  </si>
  <si>
    <t>enchanter</t>
  </si>
  <si>
    <t>Sa voix enchanteresse a captivé le public.</t>
  </si>
  <si>
    <t>Su encantadora voz cautivó a la audiencia.</t>
  </si>
  <si>
    <t>corroborer</t>
  </si>
  <si>
    <t>Les preuves ont corroboré son alibi.</t>
  </si>
  <si>
    <t>Las pruebas respaldaron su coartada.</t>
  </si>
  <si>
    <t>égoutter</t>
  </si>
  <si>
    <t>Il faut égoutter les légumes avant de les servir.</t>
  </si>
  <si>
    <t>Las verduras se deben escurrir antes de servir.</t>
  </si>
  <si>
    <t>perdurer</t>
  </si>
  <si>
    <t>Leur amitié a perduré malgré les années.</t>
  </si>
  <si>
    <t>Su amistad ha perdurado a lo largo de los años.</t>
  </si>
  <si>
    <t>massacrer</t>
  </si>
  <si>
    <t>Les soldats ont massacré les ennemis sans pitié.</t>
  </si>
  <si>
    <t>Los soldados masacraron a los enemigos sin piedad.</t>
  </si>
  <si>
    <t>décaler</t>
  </si>
  <si>
    <t>Il faut décaler la réunion à demain.</t>
  </si>
  <si>
    <t>Tenemos que posponer la reunión hasta mañana.</t>
  </si>
  <si>
    <t>contrarier</t>
  </si>
  <si>
    <t>Ne te laisse pas contrarier par de petites choses.</t>
  </si>
  <si>
    <t>No dejes que las pequeñas cosas te molesten.</t>
  </si>
  <si>
    <t>emprisonner</t>
  </si>
  <si>
    <t>Le criminel a été emprisonné pour ses crimes.</t>
  </si>
  <si>
    <t>El criminal fue encarcelado por sus crímenes.</t>
  </si>
  <si>
    <t>recentrer</t>
  </si>
  <si>
    <t>Il est temps de recentrer nos efforts sur nos objectifs.</t>
  </si>
  <si>
    <t>Es hora de reorientar nuestros esfuerzos hacia nuestros objetivos.</t>
  </si>
  <si>
    <t>moquer</t>
  </si>
  <si>
    <t>Il adore se moquer gentiment de ses amis.</t>
  </si>
  <si>
    <t>Le encanta burlarse suavemente de sus amigos.</t>
  </si>
  <si>
    <t>paniquer</t>
  </si>
  <si>
    <t>Les passagers ont commencé à paniquer lorsqu'ils ont vu la fumée.</t>
  </si>
  <si>
    <t>Los pasajeros comenzaron a entrar en pánico al ver el humo.</t>
  </si>
  <si>
    <t>responsabiliser</t>
  </si>
  <si>
    <t>Il faut responsabiliser les enfants dès leur plus jeune âge.</t>
  </si>
  <si>
    <t>A los niños hay que darles responsabilidad desde muy pequeños.</t>
  </si>
  <si>
    <t>résorber</t>
  </si>
  <si>
    <t>Le traitement a permis de résorber l'infection.</t>
  </si>
  <si>
    <t>El tratamiento eliminó la infección.</t>
  </si>
  <si>
    <t>détailler</t>
  </si>
  <si>
    <t>Elle a détaillé tous les aspects du projet.</t>
  </si>
  <si>
    <t>Ella detalló todos los aspectos del proyecto.</t>
  </si>
  <si>
    <t>dévorer</t>
  </si>
  <si>
    <t>Le tigre affamé a commencé à dévorer sa proie.</t>
  </si>
  <si>
    <t>El tigre hambriento empezó a devorar a su presa.</t>
  </si>
  <si>
    <t>circonscrire</t>
  </si>
  <si>
    <t>Les pompiers ont réussi à circonscrire l'incendie.</t>
  </si>
  <si>
    <t>Los bomberos lograron contener el fuego.</t>
  </si>
  <si>
    <t>décentraliser</t>
  </si>
  <si>
    <t>Le gouvernement souhaite décentraliser les décisions.</t>
  </si>
  <si>
    <t>El gobierno quiere descentralizar las decisiones.</t>
  </si>
  <si>
    <t>visser</t>
  </si>
  <si>
    <t>Il faut visser les pièces pour assembler le meuble.</t>
  </si>
  <si>
    <t>Las piezas deben atornillarse entre sí para montar los muebles.</t>
  </si>
  <si>
    <t>transparaître</t>
  </si>
  <si>
    <t>Sa nervosité transparaissait dans sa voix.</t>
  </si>
  <si>
    <t>Su nerviosismo se mostró en su voz.</t>
  </si>
  <si>
    <t>saupoudrer</t>
  </si>
  <si>
    <t>Elle a saupoudré de sucre glace sur les gâteaux.</t>
  </si>
  <si>
    <t>Espolvoreó azúcar glas sobre los pasteles.</t>
  </si>
  <si>
    <t>rémunérer</t>
  </si>
  <si>
    <t>L'entreprise a décidé de mieux rémunérer ses employés.</t>
  </si>
  <si>
    <t>La empresa ha decidido pagar mejor a sus empleados.</t>
  </si>
  <si>
    <t>réinstaller</t>
  </si>
  <si>
    <t>Après les rénovations, ils ont réinstallé les meubles.</t>
  </si>
  <si>
    <t>Después de las reformas, reinstalaron los muebles.</t>
  </si>
  <si>
    <t>réintroduire</t>
  </si>
  <si>
    <t>Le zoo va réintroduire les pandas dans leur habitat naturel.</t>
  </si>
  <si>
    <t>El zoológico reintroducirá a los pandas en su hábitat natural.</t>
  </si>
  <si>
    <t>régulariser</t>
  </si>
  <si>
    <t>Il faut régulariser sa situation administrative rapidement.</t>
  </si>
  <si>
    <t>Debes regularizar tu situación administrativa rápidamente.</t>
  </si>
  <si>
    <t>congeler</t>
  </si>
  <si>
    <t>N'oubliez pas de congeler les aliments frais.</t>
  </si>
  <si>
    <t>Recuerde congelar los alimentos frescos.</t>
  </si>
  <si>
    <t>saigner</t>
  </si>
  <si>
    <t>Il a saigné abondamment après s'être coupé.</t>
  </si>
  <si>
    <t>Sangró profusamente después de cortarse.</t>
  </si>
  <si>
    <t>abîmer</t>
  </si>
  <si>
    <t>Fais attention de ne pas abîmer cette peinture fragile.</t>
  </si>
  <si>
    <t>Tenga cuidado de no dañar esta frágil pintura.</t>
  </si>
  <si>
    <t>escalader</t>
  </si>
  <si>
    <t>Ils ont escaladé la montagne pour atteindre le sommet.</t>
  </si>
  <si>
    <t>Subieron la montaña para llegar a la cumbre.</t>
  </si>
  <si>
    <t>rééquilibrer</t>
  </si>
  <si>
    <t>Il est essentiel de rééquilibrer l'alimentation.</t>
  </si>
  <si>
    <t>Es fundamental reequilibrar la dieta.</t>
  </si>
  <si>
    <t>réinvestir</t>
  </si>
  <si>
    <t>Ils ont décidé de réinvestir leurs bénéfices dans l'entreprise.</t>
  </si>
  <si>
    <t>Decidieron reinvertir sus ganancias en el negocio.</t>
  </si>
  <si>
    <t>redescendre</t>
  </si>
  <si>
    <t>Après avoir admiré la vue, ils ont redescendu la montagne.</t>
  </si>
  <si>
    <t>Después de admirar la vista, regresaron montaña abajo.</t>
  </si>
  <si>
    <t>larguer</t>
  </si>
  <si>
    <t>Les avions ont largué les parachutistes au-dessus du champ.</t>
  </si>
  <si>
    <t>Los aviones arrojaron a los paracaidistas sobre el campo.</t>
  </si>
  <si>
    <t>raviver</t>
  </si>
  <si>
    <t>Elle a réussi à raviver la flamme dans leur relation.</t>
  </si>
  <si>
    <t>Ella logró reavivar la llama en su relación.</t>
  </si>
  <si>
    <t>débrancher</t>
  </si>
  <si>
    <t>N'oublie pas de débrancher l'ordinateur avant de partir.</t>
  </si>
  <si>
    <t>No olvides desconectar la computadora antes de salir.</t>
  </si>
  <si>
    <t>renommer</t>
  </si>
  <si>
    <t>La ville a décidé de renommer la rue en l'honneur de l'artiste.</t>
  </si>
  <si>
    <t>La ciudad decidió cambiar el nombre de la calle en honor al artista.</t>
  </si>
  <si>
    <t>bannir</t>
  </si>
  <si>
    <t>Le pays a décidé de bannir l'utilisation de certains pesticides.</t>
  </si>
  <si>
    <t>El país ha decidido prohibir el uso de determinados pesticidas.</t>
  </si>
  <si>
    <t>illuminer</t>
  </si>
  <si>
    <t>Les feux d'artifice ont illuminé le ciel nocturne.</t>
  </si>
  <si>
    <t>Los fuegos artificiales iluminaron el cielo nocturno.</t>
  </si>
  <si>
    <t>pérenniser</t>
  </si>
  <si>
    <t>Ils ont travaillé dur pour pérenniser leur entreprise.</t>
  </si>
  <si>
    <t>Han trabajado duro para sostener su negocio.</t>
  </si>
  <si>
    <t>raffermir</t>
  </si>
  <si>
    <t>Il a raffermi ses muscles après des mois d'entraînement.</t>
  </si>
  <si>
    <t>Tonificó sus músculos después de meses de entrenamiento.</t>
  </si>
  <si>
    <t>décrypter</t>
  </si>
  <si>
    <t>L'agent a réussi à décrypter le code secret.</t>
  </si>
  <si>
    <t>El agente logró descifrar el código secreto.</t>
  </si>
  <si>
    <t>rebondir</t>
  </si>
  <si>
    <t>Après l'échec, elle a su rebondir et trouver une nouvelle opportunité.</t>
  </si>
  <si>
    <t>Después del fracaso, pudo recuperarse y encontrar una nueva oportunidad.</t>
  </si>
  <si>
    <t>rigoler</t>
  </si>
  <si>
    <t>Ils ont rigolé ensemble devant une blague hilarante.</t>
  </si>
  <si>
    <t>Se rieron juntos de un chiste hilarante.</t>
  </si>
  <si>
    <t>taxer</t>
  </si>
  <si>
    <t>Le gouvernement envisage de taxer davantage les produits de luxe.</t>
  </si>
  <si>
    <t>El gobierno planea gravar más los artículos de lujo.</t>
  </si>
  <si>
    <t>officialiser</t>
  </si>
  <si>
    <t>Le président va officialiser sa décision lors de la conférence.</t>
  </si>
  <si>
    <t>El presidente formalizará su decisión durante la conferencia.</t>
  </si>
  <si>
    <t>béer</t>
  </si>
  <si>
    <t>Il béait d'admiration devant l'œuvre d'art.</t>
  </si>
  <si>
    <t>Se quedó boquiabierto de admiración ante la obra de arte.</t>
  </si>
  <si>
    <t>habiliter</t>
  </si>
  <si>
    <t>Ce certificat l'habilite à enseigner dans les écoles publiques.</t>
  </si>
  <si>
    <t>Este certificado lo habilita para enseñar en escuelas públicas.</t>
  </si>
  <si>
    <t>consister</t>
  </si>
  <si>
    <t>Le succès consiste à persévérer malgré les obstacles.</t>
  </si>
  <si>
    <t>El éxito se trata de perseverar a pesar de los obstáculos.</t>
  </si>
  <si>
    <t>dédommager</t>
  </si>
  <si>
    <t>L'assurance va les dédommager pour les dégâts causés.</t>
  </si>
  <si>
    <t>El seguro les compensará por los daños causados.</t>
  </si>
  <si>
    <t>reparler</t>
  </si>
  <si>
    <t>Il ne faut pas reparler du passé pour éviter les conflits.</t>
  </si>
  <si>
    <t>No debemos hablar del pasado para evitar conflictos.</t>
  </si>
  <si>
    <t>réécrire</t>
  </si>
  <si>
    <t>L'écrivain a décidé de réécrire la fin de son roman.</t>
  </si>
  <si>
    <t>El escritor decidió reescribir el final de su novela.</t>
  </si>
  <si>
    <t>menstruer</t>
  </si>
  <si>
    <t>Chaque mois, elle menstrue pendant quelques jours.</t>
  </si>
  <si>
    <t>Cada mes menstrúa durante unos días.</t>
  </si>
  <si>
    <t>adoucir</t>
  </si>
  <si>
    <t>Le miel est utilisé pour adoucir le thé.</t>
  </si>
  <si>
    <t>La miel se utiliza para endulzar el té.</t>
  </si>
  <si>
    <t>doucher</t>
  </si>
  <si>
    <t>Elle s'est douchée après une séance de sport intense.</t>
  </si>
  <si>
    <t>Se duchó después de un intenso entrenamiento.</t>
  </si>
  <si>
    <t>infecter</t>
  </si>
  <si>
    <t>Les virus peuvent infecter un système informatique.</t>
  </si>
  <si>
    <t>Los virus pueden infectar un sistema informático.</t>
  </si>
  <si>
    <t>écouler</t>
  </si>
  <si>
    <t>Il faut écouler les stocks avant la fin du mois.</t>
  </si>
  <si>
    <t>Las acciones deben venderse antes de fin de mes.</t>
  </si>
  <si>
    <t>songer</t>
  </si>
  <si>
    <t>Il songe à voyager autour du monde dès sa retraite.</t>
  </si>
  <si>
    <t>Planea viajar alrededor del mundo cuando se jubile.</t>
  </si>
  <si>
    <t>paralyser</t>
  </si>
  <si>
    <t>La peur l'a paralysé sur place.</t>
  </si>
  <si>
    <t>El miedo lo paralizó en el acto.</t>
  </si>
  <si>
    <t>corrompre</t>
  </si>
  <si>
    <t>La tentation peut corrompre même les plus vertueux.</t>
  </si>
  <si>
    <t>La tentación puede corromper incluso a los más virtuosos.</t>
  </si>
  <si>
    <t>entériner</t>
  </si>
  <si>
    <t>Le conseil d'administration doit entériner cette décision.</t>
  </si>
  <si>
    <t>El consejo de administración deberá ratificar esta decisión.</t>
  </si>
  <si>
    <t>esquiver</t>
  </si>
  <si>
    <t>Le joueur a réussi à esquiver tous les défenseurs.</t>
  </si>
  <si>
    <t>El jugador logró esquivar a todos los defensores.</t>
  </si>
  <si>
    <t>lisser</t>
  </si>
  <si>
    <t>Elle lisse ses cheveux pour un look plus élégant.</t>
  </si>
  <si>
    <t>Se alisa el cabello para lucir más elegante.</t>
  </si>
  <si>
    <t>renégocier</t>
  </si>
  <si>
    <t>Ils vont renégocier les termes du contrat pour inclure de nouvelles clauses.</t>
  </si>
  <si>
    <t>Renegociarán los términos del contrato para incluir nuevas cláusulas.</t>
  </si>
  <si>
    <t>ventiler</t>
  </si>
  <si>
    <t>Il faut bien ventiler la pièce pour éviter la chaleur.</t>
  </si>
  <si>
    <t>La habitación debe estar bien ventilada para evitar el calor.</t>
  </si>
  <si>
    <t>enclencher</t>
  </si>
  <si>
    <t>Pour démarrer la voiture, il faut enclencher la clé.</t>
  </si>
  <si>
    <t>Para arrancar el coche, debes encender la llave.</t>
  </si>
  <si>
    <t>véhiculer</t>
  </si>
  <si>
    <t>Ce film véhicule un message puissant sur l'égalité.</t>
  </si>
  <si>
    <t>Esta película transmite un poderoso mensaje sobre la igualdad.</t>
  </si>
  <si>
    <t>ressusciter</t>
  </si>
  <si>
    <t>Le personnage principal a miraculeusement ressuscité.</t>
  </si>
  <si>
    <t>El personaje principal resucitó milagrosamente.</t>
  </si>
  <si>
    <t>périr</t>
  </si>
  <si>
    <t>Tous les passagers ont péri dans l'accident d'avion.</t>
  </si>
  <si>
    <t>Todos los pasajeros murieron en el accidente aéreo.</t>
  </si>
  <si>
    <t>farcir</t>
  </si>
  <si>
    <t>Elle aime farcir les dindes avec une farce aux marrons.</t>
  </si>
  <si>
    <t>A ella le gusta rellenar los pavos con relleno de castañas.</t>
  </si>
  <si>
    <t>forer</t>
  </si>
  <si>
    <t>Les géologues doivent forer pour atteindre la roche.</t>
  </si>
  <si>
    <t>Los geólogos deben perforar para llegar a la roca.</t>
  </si>
  <si>
    <t>paramétrer</t>
  </si>
  <si>
    <t>Avant d'utiliser l'application, il faut paramétrer les préférences.</t>
  </si>
  <si>
    <t>Antes de utilizar la aplicación, debes configurar las preferencias.</t>
  </si>
  <si>
    <t>réciter</t>
  </si>
  <si>
    <t>Les élèves doivent réciter un poème devant la classe.</t>
  </si>
  <si>
    <t>Los estudiantes deben recitar un poema frente a la clase.</t>
  </si>
  <si>
    <t>égaler</t>
  </si>
  <si>
    <t>Son talent n'a jamais été égalé dans ce domaine.</t>
  </si>
  <si>
    <t>Su talento nunca ha sido igualado en este campo.</t>
  </si>
  <si>
    <t>incarner</t>
  </si>
  <si>
    <t>Il a su parfaitement incarner le rôle du héros.</t>
  </si>
  <si>
    <t>Supo encarnar perfectamente el papel del héroe.</t>
  </si>
  <si>
    <t>baigner</t>
  </si>
  <si>
    <t>Les enfants aiment se baigner dans la mer en été.</t>
  </si>
  <si>
    <t>A los niños les gusta nadar en el mar en verano.</t>
  </si>
  <si>
    <t>poignarder</t>
  </si>
  <si>
    <t>Le criminel l'a poignardé dans le dos.</t>
  </si>
  <si>
    <t>El delincuente lo apuñaló por la espalda.</t>
  </si>
  <si>
    <t>masser</t>
  </si>
  <si>
    <t>Elle masse ses épaules pour les détendre après le sport.</t>
  </si>
  <si>
    <t>Se masajea los hombros para relajarlos después de hacer deporte.</t>
  </si>
  <si>
    <t>obturer</t>
  </si>
  <si>
    <t>Le dentiste doit obturer la carie pour prévenir les infections.</t>
  </si>
  <si>
    <t>El dentista debe rellenar la cavidad para prevenir infecciones.</t>
  </si>
  <si>
    <t>camoufler</t>
  </si>
  <si>
    <t>Les soldats ont dû se camoufler pour éviter d'être repérés.</t>
  </si>
  <si>
    <t>Los soldados tuvieron que camuflarse para evitar ser detectados.</t>
  </si>
  <si>
    <t>redoubler</t>
  </si>
  <si>
    <t>Il a dû redoubler son année scolaire pour obtenir son diplôme.</t>
  </si>
  <si>
    <t>Tuvo que repetir el año escolar para obtener su diploma.</t>
  </si>
  <si>
    <t>initialiser</t>
  </si>
  <si>
    <t>Avant d'utiliser le logiciel, il faut l'initialiser.</t>
  </si>
  <si>
    <t>Antes de utilizar el software, se debe inicializar.</t>
  </si>
  <si>
    <t>désamorcer</t>
  </si>
  <si>
    <t>Les experts ont réussi à désamorcer la bombe à temps.</t>
  </si>
  <si>
    <t>Los expertos lograron desactivar la bomba a tiempo.</t>
  </si>
  <si>
    <t>piller</t>
  </si>
  <si>
    <t>Les pillards ont saccagé le village à la recherche de trésors.</t>
  </si>
  <si>
    <t>Los saqueadores saquearon el pueblo en busca de tesoros.</t>
  </si>
  <si>
    <t>peaufiner</t>
  </si>
  <si>
    <t>Elle a peaufiné son discours avant la présentation.</t>
  </si>
  <si>
    <t>Pulió su discurso antes de la presentación.</t>
  </si>
  <si>
    <t>reconfigurer</t>
  </si>
  <si>
    <t>Ils vont reconfigurer le réseau pour améliorer la sécurité.</t>
  </si>
  <si>
    <t>Reconfigurarán la red para mejorar la seguridad.</t>
  </si>
  <si>
    <t>débrouiller</t>
  </si>
  <si>
    <t>Il faut se débrouiller avec les ressources disponibles.</t>
  </si>
  <si>
    <t>Tienes que conformarte con los recursos disponibles.</t>
  </si>
  <si>
    <t>compresser</t>
  </si>
  <si>
    <t>Le fichier doit être compressé avant de l'envoyer par email.</t>
  </si>
  <si>
    <t>El archivo debe comprimirse antes de enviarlo por correo electrónico.</t>
  </si>
  <si>
    <t>boxer</t>
  </si>
  <si>
    <t>Il a dû boxer son adversaire pour se défendre.</t>
  </si>
  <si>
    <t>Tuvo que boxear con su oponente para defenderse.</t>
  </si>
  <si>
    <t>cribler</t>
  </si>
  <si>
    <t>Les balles ont criblé la façade du bâtiment.</t>
  </si>
  <si>
    <t>Las balas acribillaron la fachada del edificio.</t>
  </si>
  <si>
    <t>réinsérer</t>
  </si>
  <si>
    <t>Après sa réinsertion dans la société, il a trouvé un emploi stable.</t>
  </si>
  <si>
    <t>Tras su reintegración a la sociedad, encontró un empleo estable.</t>
  </si>
  <si>
    <t>taquer</t>
  </si>
  <si>
    <t>Elle aime taquer ses amis pour les faire rire.</t>
  </si>
  <si>
    <t>Le gusta burlarse de sus amigos para hacerlos reír.</t>
  </si>
  <si>
    <t>immerger</t>
  </si>
  <si>
    <t>Le plongeur s'est immergé dans les eaux profondes.</t>
  </si>
  <si>
    <t>El buzo se sumergió en aguas profundas.</t>
  </si>
  <si>
    <t>bouleverser</t>
  </si>
  <si>
    <t>Cette tragédie a bouleversé toute la communauté.</t>
  </si>
  <si>
    <t>Esta tragedia conmocionó a toda la comunidad.</t>
  </si>
  <si>
    <t>border</t>
  </si>
  <si>
    <t>Elle a bordé le lit avec des draps frais.</t>
  </si>
  <si>
    <t>Forró la cama con sábanas limpias.</t>
  </si>
  <si>
    <t>ensevelir</t>
  </si>
  <si>
    <t>Les archéologues ont découvert des ruines ensevelies sous la terre.</t>
  </si>
  <si>
    <t>Los arqueólogos han descubierto ruinas enterradas bajo tierra.</t>
  </si>
  <si>
    <t>scinder</t>
  </si>
  <si>
    <t>Il a dû scinder le projet en plusieurs parties pour le gérer.</t>
  </si>
  <si>
    <t>Tuvo que dividir el proyecto en varias partes para gestionarlo.</t>
  </si>
  <si>
    <t>encapsuler</t>
  </si>
  <si>
    <t>Le médicament est encapsulé pour une libération lente.</t>
  </si>
  <si>
    <t>El medicamento está encapsulado para una liberación lenta.</t>
  </si>
  <si>
    <t>s'écrouler</t>
  </si>
  <si>
    <t>La structure fragile s'est écroulée sous son propre poids.</t>
  </si>
  <si>
    <t>La frágil estructura se derrumbó por su propio peso.</t>
  </si>
  <si>
    <t>s'enquérir</t>
  </si>
  <si>
    <t>Il s'enquiert souvent de la santé de ses proches.</t>
  </si>
  <si>
    <t>A menudo pregunta por la salud de sus seres queridos.</t>
  </si>
  <si>
    <t>catalyser</t>
  </si>
  <si>
    <t>Ce catalyseur accélère la réaction chimique.</t>
  </si>
  <si>
    <t>Este catalizador acelera la reacción química.</t>
  </si>
  <si>
    <t>surcharger</t>
  </si>
  <si>
    <t>Ne surcharge pas le circuit électrique pour éviter les courts-circuits.</t>
  </si>
  <si>
    <t>No sobrecargue el circuito eléctrico para evitar cortocircuitos.</t>
  </si>
  <si>
    <t>dégénérer</t>
  </si>
  <si>
    <t>Sa santé a dégénéré après des années de négligence.</t>
  </si>
  <si>
    <t>Su salud se deterioró después de años de abandono.</t>
  </si>
  <si>
    <t>engueuler</t>
  </si>
  <si>
    <t>Ils se sont engueulés à propos de leur différend.</t>
  </si>
  <si>
    <t>Discutieron entre sí sobre su desacuerdo.</t>
  </si>
  <si>
    <t>polluer</t>
  </si>
  <si>
    <t>Les usines polluent souvent les rivières environnantes.</t>
  </si>
  <si>
    <t>Las fábricas suelen contaminar los ríos circundantes.</t>
  </si>
  <si>
    <t>tourber</t>
  </si>
  <si>
    <t>Les marais sont souvent tourbés pour extraire le carburant.</t>
  </si>
  <si>
    <t>A menudo se turban las marismas para extraer combustible.</t>
  </si>
  <si>
    <t>codifier</t>
  </si>
  <si>
    <t>Ce logiciel permet de coder les données de manière sécurisée.</t>
  </si>
  <si>
    <t>Este software permite codificar los datos de forma segura.</t>
  </si>
  <si>
    <t>nordir</t>
  </si>
  <si>
    <t>Le vent a nordi le navire vers sa destination.</t>
  </si>
  <si>
    <t>El viento hizo girar el barco hacia su destino.</t>
  </si>
  <si>
    <t>insuffler</t>
  </si>
  <si>
    <t>Son encouragement m'a insufflé la confiance nécessaire.</t>
  </si>
  <si>
    <t>Su aliento me infundió la confianza que necesitaba.</t>
  </si>
  <si>
    <t>réfrigérer</t>
  </si>
  <si>
    <t>Il faut réfrigérer le gâteau pour qu'il reste frais.</t>
  </si>
  <si>
    <t>Debes refrigerar el pastel para mantenerlo fresco.</t>
  </si>
  <si>
    <t>enflammer</t>
  </si>
  <si>
    <t>Les manifestants ont enflammé des barricades dans la rue.</t>
  </si>
  <si>
    <t>Los manifestantes incendiaron barricadas en la calle.</t>
  </si>
  <si>
    <t>atteler</t>
  </si>
  <si>
    <t>Les chevaux sont attelés à la charrette pour le marché.</t>
  </si>
  <si>
    <t>Los caballos están enganchados al carro para ir al mercado.</t>
  </si>
  <si>
    <t>charbonner</t>
  </si>
  <si>
    <t>Il aime charbonner toute la nuit pour terminer ses projets.</t>
  </si>
  <si>
    <t>Le gusta carbonizar toda la noche para terminar sus proyectos.</t>
  </si>
  <si>
    <t>sous-employer</t>
  </si>
  <si>
    <t>Elle se sent sous-employée dans son travail actuel.</t>
  </si>
  <si>
    <t>Se siente subempleada en su trabajo actual.</t>
  </si>
  <si>
    <t>préjuger</t>
  </si>
  <si>
    <t>Il ne faut pas préjuger des intentions des autres.</t>
  </si>
  <si>
    <t>No debemos prejuzgar las intenciones de los demás.</t>
  </si>
  <si>
    <t>incriminer</t>
  </si>
  <si>
    <t>Les accusations l'ont incriminé à tort.</t>
  </si>
  <si>
    <t>Las acusaciones lo incriminaban falsamente.</t>
  </si>
  <si>
    <t>consumer</t>
  </si>
  <si>
    <t>La guerre a consumé toutes leurs ressources.</t>
  </si>
  <si>
    <t>La guerra ha consumido todos sus recursos.</t>
  </si>
  <si>
    <t>hanter</t>
  </si>
  <si>
    <t>Cette maison est hantée par des esprits selon la légende.</t>
  </si>
  <si>
    <t>Según la leyenda, esta casa está embrujada por espíritus.</t>
  </si>
  <si>
    <t>bombarder</t>
  </si>
  <si>
    <t>Les avions ont bombardé la ville pendant la guerre.</t>
  </si>
  <si>
    <t>Los aviones bombardearon la ciudad durante la guerra.</t>
  </si>
  <si>
    <t>calibrer</t>
  </si>
  <si>
    <t>Il faut calibrer précisément les instruments de mesure.</t>
  </si>
  <si>
    <t>Los instrumentos de medición deben calibrarse con precisión.</t>
  </si>
  <si>
    <t>se suicider</t>
  </si>
  <si>
    <t>La tragédie l'a poussé à se suicider.</t>
  </si>
  <si>
    <t>La tragedia lo empujó al suicidio.</t>
  </si>
  <si>
    <t>kidnapper</t>
  </si>
  <si>
    <t>Des criminels ont tenté de kidnapper l'enfant.</t>
  </si>
  <si>
    <t>Los delincuentes intentaron secuestrar al niño.</t>
  </si>
  <si>
    <t>percher</t>
  </si>
  <si>
    <t>Le chat aime se percher en haut de l'arbre.</t>
  </si>
  <si>
    <t>Al gato le gusta posarse en lo alto del árbol.</t>
  </si>
  <si>
    <t>oxyder</t>
  </si>
  <si>
    <t>Le métal s'oxyde au contact de l'eau et de l'air.</t>
  </si>
  <si>
    <t>El metal se oxida al contacto con el agua y el aire.</t>
  </si>
  <si>
    <t>vacciner</t>
  </si>
  <si>
    <t>Il est essentiel de se faire vacciner contre la grippe.</t>
  </si>
  <si>
    <t>Es imprescindible vacunarse contra la gripe.</t>
  </si>
  <si>
    <t>plaisanter</t>
  </si>
  <si>
    <t>Il aime plaisanter avec ses collègues pour détendre l'atmosphère.</t>
  </si>
  <si>
    <t>Le gusta bromear con sus compañeros para aligerar el ambiente.</t>
  </si>
  <si>
    <t>enrober</t>
  </si>
  <si>
    <t>Les chocolats sont enrobés de chocolat noir et blanc.</t>
  </si>
  <si>
    <t>Los chocolates están recubiertos de chocolate negro y blanco.</t>
  </si>
  <si>
    <t>expliciter</t>
  </si>
  <si>
    <t>Il faut expliciter les termes du contrat pour éviter les malentendus.</t>
  </si>
  <si>
    <t>Se deben aclarar los términos del contrato para evitar malentendidos.</t>
  </si>
  <si>
    <t>cabrioler</t>
  </si>
  <si>
    <t>Les enfants adorent cabrioler dans le jardin.</t>
  </si>
  <si>
    <t>A los niños les encanta jugar en el jardín.</t>
  </si>
  <si>
    <t>enduire</t>
  </si>
  <si>
    <t>Elle a enduit le mur d'une couche de peinture blanche.</t>
  </si>
  <si>
    <t>Cubrió la pared con una capa de pintura blanca.</t>
  </si>
  <si>
    <t>occulter</t>
  </si>
  <si>
    <t>Il cache ses émotions pour ne pas les occulter.</t>
  </si>
  <si>
    <t>Oculta sus emociones para no eclipsarlas.</t>
  </si>
  <si>
    <t>dérouler</t>
  </si>
  <si>
    <t>Il faut dérouler le tapis avant la cérémonie.</t>
  </si>
  <si>
    <t>La alfombra debe extenderse antes de la ceremonia.</t>
  </si>
  <si>
    <t>pincer</t>
  </si>
  <si>
    <t>Elle a pincé ses lèvres pour ne pas rire.</t>
  </si>
  <si>
    <t>Ella frunció los labios para no reírse.</t>
  </si>
  <si>
    <t>endosser</t>
  </si>
  <si>
    <t>Il a dû endosser la responsabilité du projet.</t>
  </si>
  <si>
    <t>Tenía que asumir la responsabilidad del proyecto.</t>
  </si>
  <si>
    <t>flâner</t>
  </si>
  <si>
    <t>Ils aiment flâner le long de la plage au coucher du soleil.</t>
  </si>
  <si>
    <t>Les gusta pasear por la playa al atardecer.</t>
  </si>
  <si>
    <t>ajourner</t>
  </si>
  <si>
    <t>Le jury a décidé d'ajourner la réunion à demain.</t>
  </si>
  <si>
    <t>El jurado decidió aplazar la reunión hasta mañana.</t>
  </si>
  <si>
    <t>claircer</t>
  </si>
  <si>
    <t>La nuit commence à claircer, annonçant l'aube.</t>
  </si>
  <si>
    <t>La noche comienza a aclararse anunciando el amanecer.</t>
  </si>
  <si>
    <t>sous-exposer</t>
  </si>
  <si>
    <t>Il faut sous-exposer la photo pour corriger l'exposition.</t>
  </si>
  <si>
    <t>Debes subexponer la foto para corregir la exposición.</t>
  </si>
  <si>
    <t>potentialiser</t>
  </si>
  <si>
    <t>Ce médicament permet de potentialiser les effets des autres.</t>
  </si>
  <si>
    <t>Este medicamento ayuda a potenciar los efectos de los demás.</t>
  </si>
  <si>
    <t>stipuler</t>
  </si>
  <si>
    <t>Le contrat stipule clairement les obligations des parties.</t>
  </si>
  <si>
    <t>El contrato estipula claramente las obligaciones de las partes.</t>
  </si>
  <si>
    <t>inaugurer</t>
  </si>
  <si>
    <t>Le maire va inaugurer le nouveau parc ce week-end.</t>
  </si>
  <si>
    <t>El alcalde inaugurará el nuevo parque este fin de semana.</t>
  </si>
  <si>
    <t>bonifier</t>
  </si>
  <si>
    <t>Elle a bonifié son café avec un peu de crème.</t>
  </si>
  <si>
    <t>Realzó su café con un poco de crema.</t>
  </si>
  <si>
    <t>agresser</t>
  </si>
  <si>
    <t>Les voleurs ont agressé le vieil homme dans la rue.</t>
  </si>
  <si>
    <t>Los ladrones atacaron al anciano en la calle.</t>
  </si>
  <si>
    <t>révolutionner</t>
  </si>
  <si>
    <t>Ses idées novatrices ont révolutionné la façon dont nous abordons ce problème</t>
  </si>
  <si>
    <t>Sus ideas innovadoras han revolucionado la forma en que abordamos este problema.</t>
  </si>
  <si>
    <t>cogner</t>
  </si>
  <si>
    <t>Le boxeur a cogné son adversaire avec un crochet droit.</t>
  </si>
  <si>
    <t>El boxeador golpeó a su oponente con un gancho de derecha.</t>
  </si>
  <si>
    <t>ébranler</t>
  </si>
  <si>
    <t>La nouvelle a ébranlé toute la communauté.</t>
  </si>
  <si>
    <t>La noticia sacudió a toda la comunidad.</t>
  </si>
  <si>
    <t>dénigrer</t>
  </si>
  <si>
    <t>Il ne faut pas dénigrer ses collègues en leur absence.</t>
  </si>
  <si>
    <t>No debes denigrar a tus compañeros en su ausencia.</t>
  </si>
  <si>
    <t>réapparaître</t>
  </si>
  <si>
    <t>Après des années d'absence, il a décidé de réapparaître.</t>
  </si>
  <si>
    <t>Después de años de ausencia, decidió reaparecer.</t>
  </si>
  <si>
    <t>désinstaller</t>
  </si>
  <si>
    <t>Il faut désinstaller l'ancienne version avant d'installer la nouvelle.</t>
  </si>
  <si>
    <t>Debe desinstalar la versión anterior antes de instalar la nueva.</t>
  </si>
  <si>
    <t>improviser</t>
  </si>
  <si>
    <t>L'acteur a dû improviser ses répliques pendant la pièce.</t>
  </si>
  <si>
    <t>El actor tuvo que improvisar sus líneas durante la obra.</t>
  </si>
  <si>
    <t>hâter</t>
  </si>
  <si>
    <t>Le manager veut hâter le processus de recrutement.</t>
  </si>
  <si>
    <t>El directivo quiere acelerar el proceso de contratación.</t>
  </si>
  <si>
    <t>invalider</t>
  </si>
  <si>
    <t>Cette décision va invalider le contrat existant.</t>
  </si>
  <si>
    <t>Esta decisión invalidará el contrato existente.</t>
  </si>
  <si>
    <t>seconder</t>
  </si>
  <si>
    <t>Elle l'a secondé dans la gestion de l'entreprise.</t>
  </si>
  <si>
    <t>Ella lo ayudó en la gestión del negocio.</t>
  </si>
  <si>
    <t>additionner</t>
  </si>
  <si>
    <t>Pour obtenir le total, il faut additionner toutes les valeurs.</t>
  </si>
  <si>
    <t>Para obtener el total, suma todos los valores.</t>
  </si>
  <si>
    <t>brouiller</t>
  </si>
  <si>
    <t>Le brouillard va brouiller la visibilité sur la route.</t>
  </si>
  <si>
    <t>La niebla dificultará la visibilidad en la carretera.</t>
  </si>
  <si>
    <t>temoigner</t>
  </si>
  <si>
    <t>Il a témoigné en faveur de son ami lors du procès.</t>
  </si>
  <si>
    <t>Testificó en nombre de su amigo durante el juicio.</t>
  </si>
  <si>
    <t>ramper</t>
  </si>
  <si>
    <t>Le serpent rampe à travers l'herbe haute.</t>
  </si>
  <si>
    <t>La serpiente se arrastra entre la hierba alta.</t>
  </si>
  <si>
    <t>trébucher</t>
  </si>
  <si>
    <t>Il a trébuché sur la marche et est tombé.</t>
  </si>
  <si>
    <t>Tropezó con el escalón y cayó.</t>
  </si>
  <si>
    <t>émolumenter</t>
  </si>
  <si>
    <t>Les employés attendent leur émolument mensuel.</t>
  </si>
  <si>
    <t>Los empleados están esperando su salario mensual.</t>
  </si>
  <si>
    <t>rebâtir</t>
  </si>
  <si>
    <t>Ils vont rebâtir leur maison après l'incendie.</t>
  </si>
  <si>
    <t>Van a reconstruir su casa después del incendio.</t>
  </si>
  <si>
    <t>renier</t>
  </si>
  <si>
    <t>Elle a renié son ancienne vie pour en commencer une nouvelle.</t>
  </si>
  <si>
    <t>Renunció a su antigua vida para empezar una nueva.</t>
  </si>
  <si>
    <t>condenser</t>
  </si>
  <si>
    <t>Il faut condenser le texte pour l'adapter au format court.</t>
  </si>
  <si>
    <t>El texto debe estar condensado para ajustarse al formato breve.</t>
  </si>
  <si>
    <t>confiner</t>
  </si>
  <si>
    <t>Les résidents doivent se confiner pendant l'épidémie.</t>
  </si>
  <si>
    <t>Los residentes deben aislarse durante el brote.</t>
  </si>
  <si>
    <t>fouetter</t>
  </si>
  <si>
    <t>Il faut fouetter la crème pour faire une chantilly.</t>
  </si>
  <si>
    <t>Hay que montar la nata para hacer nata montada.</t>
  </si>
  <si>
    <t>chevaucher</t>
  </si>
  <si>
    <t>Le chevalier va chevaucher vers le château du roi.</t>
  </si>
  <si>
    <t>El caballero cabalgará hacia el castillo del rey.</t>
  </si>
  <si>
    <t>démocratiser</t>
  </si>
  <si>
    <t>Ce mouvement cherche à démocratiser l'accès à l'éducation.</t>
  </si>
  <si>
    <t>Este movimiento busca democratizar el acceso a la educación.</t>
  </si>
  <si>
    <t>embellir</t>
  </si>
  <si>
    <t>Les fleurs vont embellir le jardin au printemps.</t>
  </si>
  <si>
    <t>Las flores embellecerán el jardín en primavera.</t>
  </si>
  <si>
    <t>préchauffer</t>
  </si>
  <si>
    <t>Avant la cuisson, il faut préchauffer le four.</t>
  </si>
  <si>
    <t>Antes de cocinar, debes precalentar el horno.</t>
  </si>
  <si>
    <t>drainer</t>
  </si>
  <si>
    <t>Le réseau d'égouts permet de drainer les eaux usées.</t>
  </si>
  <si>
    <t>La red de alcantarillado permite drenar las aguas residuales.</t>
  </si>
  <si>
    <t>fortifier</t>
  </si>
  <si>
    <t>Une alimentation équilibrée permet de fortifier l'organisme.</t>
  </si>
  <si>
    <t>Una dieta equilibrada ayuda a fortalecer el organismo.</t>
  </si>
  <si>
    <t>délibérer</t>
  </si>
  <si>
    <t>Les juges vont délibérer sur le verdict final.</t>
  </si>
  <si>
    <t>Los jueces deliberarán sobre el veredicto final.</t>
  </si>
  <si>
    <t>lécher</t>
  </si>
  <si>
    <t>Le chien aime lécher le visage de son maître.</t>
  </si>
  <si>
    <t>Al perro le gusta lamer la cara de su amo.</t>
  </si>
  <si>
    <t>bénir</t>
  </si>
  <si>
    <t>Le prêtre est prêt à bénir le mariage.</t>
  </si>
  <si>
    <t>El sacerdote está listo para bendecir el matrimonio.</t>
  </si>
  <si>
    <t>coiffer</t>
  </si>
  <si>
    <t>Elle va coiffer ses cheveux pour la soirée.</t>
  </si>
  <si>
    <t>Ella se va a peinar para la noche.</t>
  </si>
  <si>
    <t>éluder</t>
  </si>
  <si>
    <t>Il a tenté d'éluder les questions difficiles lors de l'entrevue.</t>
  </si>
  <si>
    <t>Intentó evitar preguntas difíciles durante la entrevista.</t>
  </si>
  <si>
    <t>caresser</t>
  </si>
  <si>
    <t>Il aime caresser son chien pendant les promenades.</t>
  </si>
  <si>
    <t>Le gusta acariciar a su perro durante los paseos.</t>
  </si>
  <si>
    <t>rentabiliser</t>
  </si>
  <si>
    <t>L'entreprise cherche à rentabiliser ses investissements.</t>
  </si>
  <si>
    <t>La empresa busca rentabilizar sus inversiones.</t>
  </si>
  <si>
    <t>reconquérir</t>
  </si>
  <si>
    <t>Le roi a réussi à reconquérir son royaume après la guerre.</t>
  </si>
  <si>
    <t>El rey logró reconquistar su reino tras la guerra.</t>
  </si>
  <si>
    <t>polymériser</t>
  </si>
  <si>
    <t>Ce plastique peut polymériser à haute température.</t>
  </si>
  <si>
    <t>Este plástico puede polimerizarse a altas temperaturas.</t>
  </si>
  <si>
    <t>mouliner</t>
  </si>
  <si>
    <t>Le chef va mouliner les légumes pour préparer la soupe.</t>
  </si>
  <si>
    <t>El chef triturará las verduras para preparar la sopa.</t>
  </si>
  <si>
    <t>gerber</t>
  </si>
  <si>
    <t>Il a trop bu et a fini par gerber dans les toilettes.</t>
  </si>
  <si>
    <t>Bebió demasiado y acabó vomitando en el baño.</t>
  </si>
  <si>
    <t>précéder</t>
  </si>
  <si>
    <t>Il faut précéder le dessert par une entrée légère.</t>
  </si>
  <si>
    <t>El postre debe ir precedido de un entrante ligero.</t>
  </si>
  <si>
    <t>errer</t>
  </si>
  <si>
    <t>Il a tendance à errer dans les rues la nuit.</t>
  </si>
  <si>
    <t>Suele deambular por las calles de noche.</t>
  </si>
  <si>
    <t>spéculer</t>
  </si>
  <si>
    <t>Les économistes vont spéculer sur l'avenir de l'économie.</t>
  </si>
  <si>
    <t>Los economistas especularán sobre el futuro de la economía.</t>
  </si>
  <si>
    <t>détériorer</t>
  </si>
  <si>
    <t>Le temps a fini par détériorer le vieux bâtiment.</t>
  </si>
  <si>
    <t>El tiempo acabó deteriorando el antiguo edificio.</t>
  </si>
  <si>
    <t>adjoindre</t>
  </si>
  <si>
    <t>Il a décidé d'adjoindre une nouvelle section au rapport.</t>
  </si>
  <si>
    <t>Decidió añadir una nueva sección al informe.</t>
  </si>
  <si>
    <t>annexer</t>
  </si>
  <si>
    <t>Ils vont annexer une partie du terrain pour l'extension.</t>
  </si>
  <si>
    <t>Anexarán parte del terreno para la ampliación.</t>
  </si>
  <si>
    <t>chloroformer</t>
  </si>
  <si>
    <t>Le criminel a tenté de chloroformer sa victime pour l'endormir.</t>
  </si>
  <si>
    <t>El delincuente intentó cloroformo a su víctima para dormirla.</t>
  </si>
  <si>
    <t>repositionner</t>
  </si>
  <si>
    <t>Il faut repositionner les meubles pour optimiser l'espace.</t>
  </si>
  <si>
    <t>Los muebles deben reposicionarse para optimizar el espacio.</t>
  </si>
  <si>
    <t>tabasser</t>
  </si>
  <si>
    <t>Il a été tabassé par des inconnus dans la rue.</t>
  </si>
  <si>
    <t>Fue golpeado por desconocidos en la calle.</t>
  </si>
  <si>
    <t>riposter</t>
  </si>
  <si>
    <t>Face à la critique, elle a riposté avec fermeté.</t>
  </si>
  <si>
    <t>Ante las críticas, ella se defendió con firmeza.</t>
  </si>
  <si>
    <t>attiser</t>
  </si>
  <si>
    <t>Les rumeurs ont attisé la colère des habitants.</t>
  </si>
  <si>
    <t>Los rumores alimentaron el enfado de los vecinos.</t>
  </si>
  <si>
    <t>confectionner</t>
  </si>
  <si>
    <t>Elle sait bien confectionner des gâteaux pour les occasions spéciales.</t>
  </si>
  <si>
    <t>Se le da bien hacer pasteles para ocasiones especiales.</t>
  </si>
  <si>
    <t>modérer</t>
  </si>
  <si>
    <t>Il faut modérer ses propos pour éviter les conflits.</t>
  </si>
  <si>
    <t>Debes moderar tus comentarios para evitar conflictos.</t>
  </si>
  <si>
    <t>agencer</t>
  </si>
  <si>
    <t>Ils ont agencé les meubles dans un style moderne.</t>
  </si>
  <si>
    <t>Dispusieron los muebles en un estilo moderno.</t>
  </si>
  <si>
    <t>dater</t>
  </si>
  <si>
    <t>Cette pièce de monnaie date de l'époque romaine.</t>
  </si>
  <si>
    <t>Esta moneda data de la época romana.</t>
  </si>
  <si>
    <t>exterminer</t>
  </si>
  <si>
    <t>Les insecticides sont utilisés pour exterminer les parasites.</t>
  </si>
  <si>
    <t>Los insecticidas se utilizan para exterminar plagas.</t>
  </si>
  <si>
    <t>dénicher</t>
  </si>
  <si>
    <t>Elle a réussi à dénicher l'appartement idéal en centre-ville.</t>
  </si>
  <si>
    <t>Logró encontrar el apartamento ideal en el centro de la ciudad.</t>
  </si>
  <si>
    <t>devancer</t>
  </si>
  <si>
    <t>Il a pu devancer ses concurrents grâce à son travail acharné.</t>
  </si>
  <si>
    <t>Pudo adelantarse a sus competidores gracias a su arduo trabajo.</t>
  </si>
  <si>
    <t>triompher</t>
  </si>
  <si>
    <t>Après des années d'efforts, il a enfin triomphé dans son sport.</t>
  </si>
  <si>
    <t>Después de años de esfuerzo, finalmente triunfó en su deporte.</t>
  </si>
  <si>
    <t>mariner</t>
  </si>
  <si>
    <t>Les viandes doivent mariner dans les épices avant la cuisson.</t>
  </si>
  <si>
    <t>Las carnes deben marinarse en especias antes de cocinarlas.</t>
  </si>
  <si>
    <t>raffiner</t>
  </si>
  <si>
    <t>Ce processus permet de raffiner le pétrole brut.</t>
  </si>
  <si>
    <t>Este proceso permite refinar el petróleo crudo.</t>
  </si>
  <si>
    <t>avorter</t>
  </si>
  <si>
    <t>Elle a choisi d'avorter pour des raisons personnelles.</t>
  </si>
  <si>
    <t>Ella decidió abortar por motivos personales.</t>
  </si>
  <si>
    <t>refouler</t>
  </si>
  <si>
    <t>La police a refoulé les manifestants loin du bâtiment.</t>
  </si>
  <si>
    <t>La policía expulsó a los manifestantes del edificio.</t>
  </si>
  <si>
    <t>taniser</t>
  </si>
  <si>
    <t>Il faut taniser le cuir pour le rendre plus souple.</t>
  </si>
  <si>
    <t>El cuero debe curtirse para hacerlo más flexible.</t>
  </si>
  <si>
    <t>affermir</t>
  </si>
  <si>
    <t>Faire de l'exercice régulièrement peut affermir les muscles.</t>
  </si>
  <si>
    <t>Hacer ejercicio con regularidad puede fortalecer los músculos.</t>
  </si>
  <si>
    <t>assaisonner</t>
  </si>
  <si>
    <t>Il aime assaisonner ses plats avec des herbes fraîches.</t>
  </si>
  <si>
    <t>Le gusta condimentar sus platos con hierbas frescas.</t>
  </si>
  <si>
    <t>rainer</t>
  </si>
  <si>
    <t>La pluie a commencé à rainer les fenêtres.</t>
  </si>
  <si>
    <t>La lluvia empezó a rayar las ventanas.</t>
  </si>
  <si>
    <t>aérer</t>
  </si>
  <si>
    <t>Ouvrir les fenêtres permet d'aérer la pièce.</t>
  </si>
  <si>
    <t>Abrir las ventanas ayuda a ventilar la habitación.</t>
  </si>
  <si>
    <t>édicter</t>
  </si>
  <si>
    <t>Le gouvernement a décidé d'édicter de nouvelles lois.</t>
  </si>
  <si>
    <t>El gobierno ha decidido promulgar nuevas leyes.</t>
  </si>
  <si>
    <t>dupliquer</t>
  </si>
  <si>
    <t>Il faut dupliquer le fichier avant de l'envoyer.</t>
  </si>
  <si>
    <t>Debes duplicar el archivo antes de enviarlo.</t>
  </si>
  <si>
    <t>baudir</t>
  </si>
  <si>
    <t>La lumière du soleil va baudir les couleurs du tableau.</t>
  </si>
  <si>
    <t>La luz del sol distorsionará los colores de la pintura.</t>
  </si>
  <si>
    <t>concéder</t>
  </si>
  <si>
    <t>Le jury a décidé de concéder la victoire à l'équipe adverse.</t>
  </si>
  <si>
    <t>El jurado decidió conceder la victoria al equipo contrario.</t>
  </si>
  <si>
    <t>rayonner</t>
  </si>
  <si>
    <t>Son sourire rayonne dans la pièce.</t>
  </si>
  <si>
    <t>Su sonrisa brilla en la habitación.</t>
  </si>
  <si>
    <t>receler</t>
  </si>
  <si>
    <t>Ce coffre recèle des trésors oubliés depuis des siècles.</t>
  </si>
  <si>
    <t>Este cofre contiene tesoros olvidados durante siglos.</t>
  </si>
  <si>
    <t>rivaliser</t>
  </si>
  <si>
    <t>Les équipes rivales vont rivaliser pour remporter le titre.</t>
  </si>
  <si>
    <t>Los equipos rivales competirán para ganar el título.</t>
  </si>
  <si>
    <t>hacher</t>
  </si>
  <si>
    <t>Il faut hacher finement les légumes pour la soupe.</t>
  </si>
  <si>
    <t>Para la sopa, debes picar finamente las verduras.</t>
  </si>
  <si>
    <t>flipper</t>
  </si>
  <si>
    <t>Il a commencé à flipper en voyant le serpent.</t>
  </si>
  <si>
    <t>Comenzó a asustarse cuando vio la serpiente.</t>
  </si>
  <si>
    <t>téléporter</t>
  </si>
  <si>
    <t>Dans ce film de science-fiction, ils peuvent se téléporter instantanément.</t>
  </si>
  <si>
    <t>En esta película de ciencia ficción, pueden teletransportarse instantáneamente.</t>
  </si>
  <si>
    <t>interpeller</t>
  </si>
  <si>
    <t>Elle a été interpellée par la beauté du paysage.</t>
  </si>
  <si>
    <t>Quedó impresionada por la belleza del paisaje.</t>
  </si>
  <si>
    <t>louper</t>
  </si>
  <si>
    <t>Il a fini par louper son rendez-vous à cause du trafic.</t>
  </si>
  <si>
    <t>Terminó faltando a su cita debido al tráfico.</t>
  </si>
  <si>
    <t>encoder</t>
  </si>
  <si>
    <t>Assurez-vous d'encoder correctement les informations dans le système.</t>
  </si>
  <si>
    <t>Asegúrese de codificar la información correctamente en el sistema.</t>
  </si>
  <si>
    <t>formater</t>
  </si>
  <si>
    <t>Il faut formater le disque dur avant de réinstaller le système d'exploitation.</t>
  </si>
  <si>
    <t>Debe formatear el disco duro antes de reinstalar el sistema operativo.</t>
  </si>
  <si>
    <t>enchaîner</t>
  </si>
  <si>
    <t>Ils vont enchaîner les événements pour maintenir l'attention du public.</t>
  </si>
  <si>
    <t>Encadenarán eventos para mantener la atención del público.</t>
  </si>
  <si>
    <t>croquer</t>
  </si>
  <si>
    <t>Il adore croquer dans une pomme bien juteuse.</t>
  </si>
  <si>
    <t>Le encanta morder una manzana jugosa.</t>
  </si>
  <si>
    <t>claquer</t>
  </si>
  <si>
    <t>La porte a claqué derrière elle en partant.</t>
  </si>
  <si>
    <t>La puerta se cerró de golpe detrás de ella cuando se fue.</t>
  </si>
  <si>
    <t>corréler</t>
  </si>
  <si>
    <t>Il faut corréler ces données pour trouver des tendances.</t>
  </si>
  <si>
    <t>Estos datos deben correlacionarse para encontrar tendencias.</t>
  </si>
  <si>
    <t>déborder</t>
  </si>
  <si>
    <t>Les fleuves peuvent déborder après de fortes pluies.</t>
  </si>
  <si>
    <t>Los ríos pueden desbordarse después de fuertes lluvias.</t>
  </si>
  <si>
    <t>déloger</t>
  </si>
  <si>
    <t>Les soldats ont réussi à déloger l'ennemi de sa position.</t>
  </si>
  <si>
    <t>Los soldados lograron desalojar al enemigo de su posición.</t>
  </si>
  <si>
    <t>redynamiser</t>
  </si>
  <si>
    <t>Le nouvel entraîneur a redynamisé l'équipe de football.</t>
  </si>
  <si>
    <t>El nuevo entrenador ha revitalizado el equipo de fútbol.</t>
  </si>
  <si>
    <t>superposer</t>
  </si>
  <si>
    <t>Superposer les couches de vêtements permet de se protéger du froid.</t>
  </si>
  <si>
    <t>Usar capas de ropa te ayuda a protegerte del frío.</t>
  </si>
  <si>
    <t>réessayer</t>
  </si>
  <si>
    <t>Après l'échec, il a décidé de réessayer encore une fois.</t>
  </si>
  <si>
    <t>Tras el fracaso, decidió intentarlo de nuevo.</t>
  </si>
  <si>
    <t>gravir</t>
  </si>
  <si>
    <t>Ils ont gravir la montagne avant le coucher du soleil.</t>
  </si>
  <si>
    <t>Subieron a la montaña antes del atardecer.</t>
  </si>
  <si>
    <t>stationner</t>
  </si>
  <si>
    <t>Il est difficile de stationner en centre-ville.</t>
  </si>
  <si>
    <t>Es difícil aparcar en el centro de la ciudad.</t>
  </si>
  <si>
    <t>braquer</t>
  </si>
  <si>
    <t>Les braqueurs ont braqué la banque hier soir.</t>
  </si>
  <si>
    <t>Anoche los ladrones asaltaron el banco.</t>
  </si>
  <si>
    <t>retransmettre</t>
  </si>
  <si>
    <t>Il est important de retransmettre fidèlement les informations sans les déformer.</t>
  </si>
  <si>
    <t>Es importante transmitir fielmente la información sin distorsionarla.</t>
  </si>
  <si>
    <t>chapitrer</t>
  </si>
  <si>
    <t>Il va chapitrer son livre avant de le publier.</t>
  </si>
  <si>
    <t>Pondrá un capítulo en su libro antes de publicarlo.</t>
  </si>
  <si>
    <t>indexer</t>
  </si>
  <si>
    <t>Il faut indexer les documents pour faciliter la recherche.</t>
  </si>
  <si>
    <t>Los documentos deben estar indexados para facilitar la búsqueda.</t>
  </si>
  <si>
    <t>encourir</t>
  </si>
  <si>
    <t>Il peut encourir de lourdes sanctions s'il ne respecte pas la loi.</t>
  </si>
  <si>
    <t>Puede enfrentarse a duras penas si no cumple la ley.</t>
  </si>
  <si>
    <t>criminaliser</t>
  </si>
  <si>
    <t>Les autorités ont décidé de criminaliser le trafic de drogue.</t>
  </si>
  <si>
    <t>Las autoridades han decidido criminalizar el tráfico de drogas.</t>
  </si>
  <si>
    <t>cloner</t>
  </si>
  <si>
    <t>Le clonage permet de reproduire génétiquement des organismes.</t>
  </si>
  <si>
    <t>La clonación permite reproducir organismos genéticamente.</t>
  </si>
  <si>
    <t>mendier</t>
  </si>
  <si>
    <t>Elle mendie chaque jour pour nourrir sa famille.</t>
  </si>
  <si>
    <t>Ella ruega todos los días para alimentar a su familia.</t>
  </si>
  <si>
    <t>métrer</t>
  </si>
  <si>
    <t>Il doit métrer la surface avant de commencer les travaux.</t>
  </si>
  <si>
    <t>Debe medir la superficie antes de comenzar el trabajo.</t>
  </si>
  <si>
    <t>prôner</t>
  </si>
  <si>
    <t>Il aime prôner la paix et la tolérance dans ses discours.</t>
  </si>
  <si>
    <t>Le gusta defender la paz y la tolerancia en sus discursos.</t>
  </si>
  <si>
    <t>replier</t>
  </si>
  <si>
    <t>Avant de partir, il va replier les cartes et les ranger.</t>
  </si>
  <si>
    <t>Antes de irse, doblará las cartas y las guardará.</t>
  </si>
  <si>
    <t>tire-bouchonner</t>
  </si>
  <si>
    <t>Pour ouvrir la bouteille, il faut tire-bouchonner le bouchon.</t>
  </si>
  <si>
    <t>Para abrir la botella hay que sacar el corcho.</t>
  </si>
  <si>
    <t>décompenser</t>
  </si>
  <si>
    <t>La maladie peut décompenser rapidement si elle n'est pas traitée.</t>
  </si>
  <si>
    <t>La enfermedad puede descompensarse rápidamente si no se trata.</t>
  </si>
  <si>
    <t>choquer</t>
  </si>
  <si>
    <t>Ses propos ont choqué tout le public.</t>
  </si>
  <si>
    <t>Sus palabras sorprendieron a toda la audiencia.</t>
  </si>
  <si>
    <t>infirmer</t>
  </si>
  <si>
    <t>Le témoignage de l'accusé a permis de l'infirmer de tout soupçon.</t>
  </si>
  <si>
    <t>El testimonio del acusado permitió disipar cualquier sospecha.</t>
  </si>
  <si>
    <t>succomber</t>
  </si>
  <si>
    <t>Face à la pression, il a fini par succomber.</t>
  </si>
  <si>
    <t>Ante la presión, finalmente sucumbió.</t>
  </si>
  <si>
    <t>thriller</t>
  </si>
  <si>
    <t>Ce roman est un thriller haletant qui tient en haleine.</t>
  </si>
  <si>
    <t>Esta novela es un thriller apasionante que te mantiene en suspenso.</t>
  </si>
  <si>
    <t>procréer</t>
  </si>
  <si>
    <t>Elle a décidé de procréer après des années d'attente.</t>
  </si>
  <si>
    <t>Decidió procrear después de años de espera.</t>
  </si>
  <si>
    <t>pâtir</t>
  </si>
  <si>
    <t>Les agriculteurs vont pâtir des conséquences de la sécheresse.</t>
  </si>
  <si>
    <t>Los agricultores sufrirán las consecuencias de la sequía.</t>
  </si>
  <si>
    <t>calorifuger</t>
  </si>
  <si>
    <t>Il faut calorifuger les maisons pour économiser l'énergie.</t>
  </si>
  <si>
    <t>Las casas deben estar aisladas para ahorrar energía.</t>
  </si>
  <si>
    <t>amoindrir</t>
  </si>
  <si>
    <t>Il va amoindrir les effets secondaires du traitement.</t>
  </si>
  <si>
    <t>Reducirá los efectos secundarios del tratamiento.</t>
  </si>
  <si>
    <t>infléchir</t>
  </si>
  <si>
    <t>Les critiques ont réussi à infléchir sa décision.</t>
  </si>
  <si>
    <t>Los críticos lograron cambiar su decisión.</t>
  </si>
  <si>
    <t>médicaliser</t>
  </si>
  <si>
    <t>La société cherche à médicaliser les soins à domicile.</t>
  </si>
  <si>
    <t>La empresa busca medicalizar la atención domiciliaria.</t>
  </si>
  <si>
    <t>décompresser</t>
  </si>
  <si>
    <t>Après une longue journée, il aime se décompresser en regardant la télé.</t>
  </si>
  <si>
    <t>Después de un largo día, le gusta relajarse viendo la televisión.</t>
  </si>
  <si>
    <t>perforer</t>
  </si>
  <si>
    <t>Il a utilisé une perceuse pour perforer le mur.</t>
  </si>
  <si>
    <t>Usó un taladro para perforar la pared.</t>
  </si>
  <si>
    <t>tripler</t>
  </si>
  <si>
    <t>Elle a triplé ses économies grâce à ses investissements.</t>
  </si>
  <si>
    <t>Triplicó sus ahorros gracias a sus inversiones.</t>
  </si>
  <si>
    <t>bûcher</t>
  </si>
  <si>
    <t>Il faut bûcher ses leçons pour réussir les examens.</t>
  </si>
  <si>
    <t>Tienes que estudiar tus lecciones para aprobar los exámenes.</t>
  </si>
  <si>
    <t>extruder</t>
  </si>
  <si>
    <t>Il va extruder le métal pour former la pièce.</t>
  </si>
  <si>
    <t>Extruirá el metal para formar la pieza.</t>
  </si>
  <si>
    <t>maquiller</t>
  </si>
  <si>
    <t>Elle aime se maquiller avant de sortir.</t>
  </si>
  <si>
    <t>A ella le gusta maquillarse antes de salir.</t>
  </si>
  <si>
    <t>survoler</t>
  </si>
  <si>
    <t>L'avion va survoler les montagnes avant d'atterrir.</t>
  </si>
  <si>
    <t>El avión sobrevolará las montañas antes de aterrizar.</t>
  </si>
  <si>
    <t>démasquer</t>
  </si>
  <si>
    <t>Le détective a fini par démasquer le coupable.</t>
  </si>
  <si>
    <t>El detective acabó desenmascarando al culpable.</t>
  </si>
  <si>
    <t>glisser-déposer</t>
  </si>
  <si>
    <t>Glisser-déposer permet de déplacer facilement les fichiers sur l'ordinateur.</t>
  </si>
  <si>
    <t>Arrastrar y soltar facilita el movimiento de archivos por la computadora.</t>
  </si>
  <si>
    <t>solidifier</t>
  </si>
  <si>
    <t>Le béton armé permet de solidifier les structures.</t>
  </si>
  <si>
    <t>El hormigón armado ayuda a solidificar las estructuras.</t>
  </si>
  <si>
    <t>abréger</t>
  </si>
  <si>
    <t>Pour gagner du temps, il va abréger son discours.</t>
  </si>
  <si>
    <t>Para ahorrar tiempo, acortará su discurso.</t>
  </si>
  <si>
    <t>exceller</t>
  </si>
  <si>
    <t>Il a toujours excellé dans ses études depuis l'enfance.</t>
  </si>
  <si>
    <t>Siempre se ha destacado en sus estudios desde pequeño.</t>
  </si>
  <si>
    <t>ferrer</t>
  </si>
  <si>
    <t>Ils vont ferrer les chevaux avant la course.</t>
  </si>
  <si>
    <t>Herrarán los caballos antes de la carrera.</t>
  </si>
  <si>
    <t>ensanglanter</t>
  </si>
  <si>
    <t>Le crime odieux a ensanglanté la petite ville.</t>
  </si>
  <si>
    <t>El atroz crimen dejó al pequeño pueblo ensangrentado.</t>
  </si>
  <si>
    <t>fouiner</t>
  </si>
  <si>
    <t>Il aime fouiner dans les boutiques à la recherche de bonnes affaires.</t>
  </si>
  <si>
    <t>Le gusta recorrer las tiendas en busca de buenas ofertas.</t>
  </si>
  <si>
    <t>transcender</t>
  </si>
  <si>
    <t>Ses actions transcendent les frontières nationales.</t>
  </si>
  <si>
    <t>Sus acciones trascienden las fronteras nacionales.</t>
  </si>
  <si>
    <t>embrouiller</t>
  </si>
  <si>
    <t>Cette situation va embrouiller encore plus les choses.</t>
  </si>
  <si>
    <t>Esta situación confundirá aún más las cosas.</t>
  </si>
  <si>
    <t>hiérarchiser</t>
  </si>
  <si>
    <t>Il faut hiérarchiser les tâches en fonction de leur importance.</t>
  </si>
  <si>
    <t>Las tareas deben priorizarse según su importancia.</t>
  </si>
  <si>
    <t>ourler</t>
  </si>
  <si>
    <t>Elle va ourler la robe pour la rendre plus élégante.</t>
  </si>
  <si>
    <t>Le va a hacer un dobladillo al vestido para hacerlo más elegante.</t>
  </si>
  <si>
    <t>radier</t>
  </si>
  <si>
    <t>Le tribunal va radier l'avocat pour faute professionnelle.</t>
  </si>
  <si>
    <t>El tribunal inhabilitará al abogado por mala conducta profesional.</t>
  </si>
  <si>
    <t>débarder</t>
  </si>
  <si>
    <t>Il a décidé d'aider à débarder le bois dans la forêt.</t>
  </si>
  <si>
    <t>Decidió ayudar a descargar la madera en el bosque.</t>
  </si>
  <si>
    <t>assommer</t>
  </si>
  <si>
    <t>Le coup violent l'a assommé pendant quelques instants.</t>
  </si>
  <si>
    <t>El violento golpe lo dejó inconsciente por unos momentos.</t>
  </si>
  <si>
    <t>alterner</t>
  </si>
  <si>
    <t>Les deux amis vont alterner les tâches ménagères.</t>
  </si>
  <si>
    <t>Los dos amigos alternarán las tareas del hogar.</t>
  </si>
  <si>
    <t>côtoyer</t>
  </si>
  <si>
    <t>Il aime côtoyer des personnes inspirantes.</t>
  </si>
  <si>
    <t>Le gusta conocer gente inspiradora.</t>
  </si>
  <si>
    <t>fidéliser</t>
  </si>
  <si>
    <t>Offrir un excellent service après-vente aide à fidéliser la clientèle.</t>
  </si>
  <si>
    <t>Proporcionar un excelente servicio postventa ayuda a fidelizar a los clientes.</t>
  </si>
  <si>
    <t>rétrécir</t>
  </si>
  <si>
    <t>Le pull a rétréci après avoir été lavé à haute température.</t>
  </si>
  <si>
    <t>El suéter se encogió después de lavarlo a altas temperaturas.</t>
  </si>
  <si>
    <t>évaporer</t>
  </si>
  <si>
    <t>La chaleur va évaporer rapidement l'eau de la casserole.</t>
  </si>
  <si>
    <t>El calor evaporará rápidamente el agua de la sartén.</t>
  </si>
  <si>
    <t>exonérer</t>
  </si>
  <si>
    <t>Le jury a décidé d'exonérer l'accusé des charges qui pesaient contre lui.</t>
  </si>
  <si>
    <t>El jurado decidió exonerar al acusado de los cargos que se le imputaban.</t>
  </si>
  <si>
    <t>imager</t>
  </si>
  <si>
    <t>Elle adore imager des scènes romantiques dans ses romans.</t>
  </si>
  <si>
    <t>Le encanta representar escenas románticas en sus novelas.</t>
  </si>
  <si>
    <t>soumissionner</t>
  </si>
  <si>
    <t>Il va soumissionner pour obtenir le contrat de construction.</t>
  </si>
  <si>
    <t>Licitará para obtener el contrato de construcción.</t>
  </si>
  <si>
    <t>munir</t>
  </si>
  <si>
    <t>Il faut munir les employés des outils nécessaires pour leur travail.</t>
  </si>
  <si>
    <t>Los empleados deben contar con las herramientas necesarias para su trabajo.</t>
  </si>
  <si>
    <t>hydrater</t>
  </si>
  <si>
    <t>Après une journée au soleil, il est important de bien s'hydrater.</t>
  </si>
  <si>
    <t>Después de un día de sol, es importante hidratarse bien.</t>
  </si>
  <si>
    <t>brosser</t>
  </si>
  <si>
    <t>Elle aime brosser ses cheveux longs chaque matin.</t>
  </si>
  <si>
    <t>Le gusta cepillarse el pelo largo todas las mañanas.</t>
  </si>
  <si>
    <t>outrer</t>
  </si>
  <si>
    <t>Son comportement a outré ses collègues lors de la réunion.</t>
  </si>
  <si>
    <t>Su comportamiento indignó a sus compañeros durante la reunión.</t>
  </si>
  <si>
    <t>rabattre</t>
  </si>
  <si>
    <t>Le fermier a rabattu les moutons dans l'enclos avant la nuit.</t>
  </si>
  <si>
    <t>El granjero condujo a las ovejas al recinto antes de que oscureciera.</t>
  </si>
  <si>
    <t>bousculer</t>
  </si>
  <si>
    <t>Les supporters ont bousculé les barrières pour célébrer la victoire.</t>
  </si>
  <si>
    <t>Los seguidores rompieron las barreras para celebrar la victoria.</t>
  </si>
  <si>
    <t>greffer</t>
  </si>
  <si>
    <t>Les horticulteurs ont greffé de nouvelles variétés de roses.</t>
  </si>
  <si>
    <t>Los horticultores injertaron nuevas variedades de rosas.</t>
  </si>
  <si>
    <t>tordre</t>
  </si>
  <si>
    <t>Il faut tordre le tube pour en extraire tout le dentifrice.</t>
  </si>
  <si>
    <t>Tienes que girar el tubo para extraer toda la pasta de dientes.</t>
  </si>
  <si>
    <t>franchiser</t>
  </si>
  <si>
    <t>La franchise permet aux entreprises de se développer rapidement.</t>
  </si>
  <si>
    <t>Las franquicias permiten que las empresas crezcan rápidamente.</t>
  </si>
  <si>
    <t>plaquer</t>
  </si>
  <si>
    <t>Elle a plaqué son adversaire au sol lors du match de rugby.</t>
  </si>
  <si>
    <t>Derribó a su oponente al suelo durante el partido de rugby.</t>
  </si>
  <si>
    <t>rétracter</t>
  </si>
  <si>
    <t>Face aux critiques, il a préféré rétracter ses propos.</t>
  </si>
  <si>
    <t>Ante las críticas, prefirió retractarse.</t>
  </si>
  <si>
    <t>déterrer</t>
  </si>
  <si>
    <t>Les archéologues ont réussi à déterrer des vestiges anciens.</t>
  </si>
  <si>
    <t>Los arqueólogos han logrado desenterrar restos antiguos.</t>
  </si>
  <si>
    <t>dépouiller</t>
  </si>
  <si>
    <t>Les voleurs ont dépouillé la maison de ses biens précieux.</t>
  </si>
  <si>
    <t>Los ladrones despojaron la casa de sus valiosas posesiones.</t>
  </si>
  <si>
    <t>hisser</t>
  </si>
  <si>
    <t>Il a hissé le drapeau au sommet du mât avec fierté.</t>
  </si>
  <si>
    <t>Levantó la bandera hasta lo alto del mástil con orgullo.</t>
  </si>
  <si>
    <t>collectionner</t>
  </si>
  <si>
    <t>Il aime collectionner les timbres depuis son enfance.</t>
  </si>
  <si>
    <t>Le encanta coleccionar sellos desde su infancia.</t>
  </si>
  <si>
    <t>décroître</t>
  </si>
  <si>
    <t>La demande pour ce produit a commencé à décroître.</t>
  </si>
  <si>
    <t>La demanda de este producto comenzó a disminuir.</t>
  </si>
  <si>
    <t>déshabiller</t>
  </si>
  <si>
    <t>Elle se déshabille lentement avant d'entrer dans la douche.</t>
  </si>
  <si>
    <t>Se desnuda lentamente antes de meterse en la ducha.</t>
  </si>
  <si>
    <t>démêler</t>
  </si>
  <si>
    <t>Il faut démêler les fils emmêlés du casque audio.</t>
  </si>
  <si>
    <t>Debes desenredar los cables enredados de los auriculares.</t>
  </si>
  <si>
    <t>draper</t>
  </si>
  <si>
    <t>Elle aime draper ses épaules d'un châle en laine.</t>
  </si>
  <si>
    <t>Le gusta cubrirse los hombros con un chal de lana.</t>
  </si>
  <si>
    <t>desserrer</t>
  </si>
  <si>
    <t>Il faut desserrer la vis pour retirer la pièce.</t>
  </si>
  <si>
    <t>Debes aflojar el tornillo para retirar la pieza.</t>
  </si>
  <si>
    <t>ordonnancer</t>
  </si>
  <si>
    <t>Le chef doit ordonnancer les tâches pour la journée.</t>
  </si>
  <si>
    <t>El jefe debe programar las tareas del día.</t>
  </si>
  <si>
    <t>patiner</t>
  </si>
  <si>
    <t>Les enfants adorent patiner sur le lac gelé en hiver.</t>
  </si>
  <si>
    <t>A los niños les encanta patinar en el lago helado en invierno.</t>
  </si>
  <si>
    <t>converger</t>
  </si>
  <si>
    <t>Les opinions commencent à converger vers un consensus.</t>
  </si>
  <si>
    <t>Las opiniones están empezando a converger hacia un consenso.</t>
  </si>
  <si>
    <t>ravir</t>
  </si>
  <si>
    <t>La nouvelle de la promotion l'a ravie au plus haut point.</t>
  </si>
  <si>
    <t>La noticia del ascenso la alegró muchísimo.</t>
  </si>
  <si>
    <t>éplucher</t>
  </si>
  <si>
    <t>Il faut éplucher les pommes de terre avant de les cuire.</t>
  </si>
  <si>
    <t>Es necesario pelar las patatas antes de cocinarlas.</t>
  </si>
  <si>
    <t>réaménager</t>
  </si>
  <si>
    <t>Ils vont réaménager le bureau pour plus d'efficacité.</t>
  </si>
  <si>
    <t>Reorganizarán la oficina para mayor eficiencia.</t>
  </si>
  <si>
    <t>badigeonner</t>
  </si>
  <si>
    <t>Elle aime badigeonner ses toiles de couleurs vives.</t>
  </si>
  <si>
    <t>Le gusta pintar sus lienzos con colores brillantes.</t>
  </si>
  <si>
    <t>systématiser</t>
  </si>
  <si>
    <t>Il a décidé de systématiser ses méthodes de travail pour gagner en efficacité.</t>
  </si>
  <si>
    <t>Decidió sistematizar sus métodos de trabajo para aumentar la eficiencia.</t>
  </si>
  <si>
    <t>déverser</t>
  </si>
  <si>
    <t>Ne déversez pas l'eau sale dans la rivière.</t>
  </si>
  <si>
    <t>No arrojar agua sucia al río.</t>
  </si>
  <si>
    <t>commercer</t>
  </si>
  <si>
    <t>Il a commencé à commercer avec des fournisseurs étrangers.</t>
  </si>
  <si>
    <t>Comenzó a comerciar con proveedores extranjeros.</t>
  </si>
  <si>
    <t>pister</t>
  </si>
  <si>
    <t>Le détective a pister le fugitif pendant des semaines.</t>
  </si>
  <si>
    <t>El detective siguió al fugitivo durante semanas.</t>
  </si>
  <si>
    <t>bronzer</t>
  </si>
  <si>
    <t>Elle adore bronzer sur la plage pendant les vacances.</t>
  </si>
  <si>
    <t>Le encanta tomar el sol en la playa durante las vacaciones.</t>
  </si>
  <si>
    <t>légaliser</t>
  </si>
  <si>
    <t>Le gouvernement envisage de légaliser certaines drogues.</t>
  </si>
  <si>
    <t>El gobierno está considerando legalizar ciertas drogas.</t>
  </si>
  <si>
    <t>prodiguer</t>
  </si>
  <si>
    <t>Le médecin a prodigué des soins attentifs au patient.</t>
  </si>
  <si>
    <t>El médico brindó una atención atenta al paciente.</t>
  </si>
  <si>
    <t>reprogrammer</t>
  </si>
  <si>
    <t>Il a dû reprogrammer l'ordinateur suite à une erreur.</t>
  </si>
  <si>
    <t>Tuvo que reprogramar la computadora debido a un error.</t>
  </si>
  <si>
    <t>homogénéiser</t>
  </si>
  <si>
    <t>Ils vont homogénéiser le mélange pour une meilleure texture.</t>
  </si>
  <si>
    <t>Homogeneizarán la mezcla para una mejor textura.</t>
  </si>
  <si>
    <t>compacter</t>
  </si>
  <si>
    <t>Il faut compacter les déchets avant de les jeter.</t>
  </si>
  <si>
    <t>Los residuos deben compactarse antes de tirarlos.</t>
  </si>
  <si>
    <t>décréter</t>
  </si>
  <si>
    <t>Le président a décrété un jour férié pour tous les employés.</t>
  </si>
  <si>
    <t>El presidente declaró día festivo para todos los empleados.</t>
  </si>
  <si>
    <t>primer</t>
  </si>
  <si>
    <t>Il faut primer les surfaces avant de peindre.</t>
  </si>
  <si>
    <t>Las superficies deben imprimarse antes de pintar.</t>
  </si>
  <si>
    <t>crypter</t>
  </si>
  <si>
    <t>Les données sensibles doivent être cryptées pour la sécurité.</t>
  </si>
  <si>
    <t>Los datos confidenciales deben cifrarse por motivos de seguridad.</t>
  </si>
  <si>
    <t>transiger</t>
  </si>
  <si>
    <t>Ils ont décidé de transiger sur les termes du contrat.</t>
  </si>
  <si>
    <t>Decidieron llegar a un acuerdo sobre los términos del contrato.</t>
  </si>
  <si>
    <t>marginaliser</t>
  </si>
  <si>
    <t>Certaines politiques peuvent marginaliser des groupes entiers.</t>
  </si>
  <si>
    <t>Algunas políticas pueden marginar a grupos enteros.</t>
  </si>
  <si>
    <t>entrecouper</t>
  </si>
  <si>
    <t>Ils vont entrecouper la forêt pour créer des zones de coupe.</t>
  </si>
  <si>
    <t>Cruzarán el bosque para crear zonas de tala.</t>
  </si>
  <si>
    <t>redimensionner</t>
  </si>
  <si>
    <t>Il a redimensionné les images pour les adapter au site web.</t>
  </si>
  <si>
    <t>Cambió el tamaño de las imágenes para que se ajustaran al sitio web.</t>
  </si>
  <si>
    <t>se méfier</t>
  </si>
  <si>
    <t>Il faut se méfier des personnes trop gentilles.</t>
  </si>
  <si>
    <t>Hay que tener cuidado con las personas que son demasiado amables.</t>
  </si>
  <si>
    <t>formaliser</t>
  </si>
  <si>
    <t>Il est temps de formaliser cet accord par écrit.</t>
  </si>
  <si>
    <t>Es hora de formalizar este acuerdo por escrito.</t>
  </si>
  <si>
    <t>rajuster</t>
  </si>
  <si>
    <t>Il va rajuster les paramètres pour améliorer les performances.</t>
  </si>
  <si>
    <t>Ajustará la configuración para mejorar el rendimiento.</t>
  </si>
  <si>
    <t>arnaquer</t>
  </si>
  <si>
    <t>Les fraudeurs ont tenté d'arnaquer des personnes âgées.</t>
  </si>
  <si>
    <t>Los estafadores intentaron estafar a las personas mayores.</t>
  </si>
  <si>
    <t>baptiser</t>
  </si>
  <si>
    <t>Le prêtre va baptiser le bébé lors de la cérémonie.</t>
  </si>
  <si>
    <t>El sacerdote bautizará al bebé durante la ceremonia.</t>
  </si>
  <si>
    <t>congédier</t>
  </si>
  <si>
    <t>L'entreprise a décidé de congédier plusieurs employés.</t>
  </si>
  <si>
    <t>La empresa ha decidido despedir a varios empleados.</t>
  </si>
  <si>
    <t>déférer</t>
  </si>
  <si>
    <t>Les avocats vont déférer le cas devant le tribunal.</t>
  </si>
  <si>
    <t>Los abogados llevarán el caso a los tribunales.</t>
  </si>
  <si>
    <t>shooter</t>
  </si>
  <si>
    <t>Il a réussi à shooter un penalty décisif pour son équipe.</t>
  </si>
  <si>
    <t>Logró ejecutar un penalti decisivo para su equipo.</t>
  </si>
  <si>
    <t>couturer</t>
  </si>
  <si>
    <t>Elle aime couturer ses propres vêtements.</t>
  </si>
  <si>
    <t>A ella le gusta coser su propia ropa.</t>
  </si>
  <si>
    <t>épeler</t>
  </si>
  <si>
    <t>Les enfants doivent apprendre à épeler correctement.</t>
  </si>
  <si>
    <t>Los niños deben aprender a escribir correctamente.</t>
  </si>
  <si>
    <t>authentiquer</t>
  </si>
  <si>
    <t>Il a réussi à authentifier le document comme étant authentique.</t>
  </si>
  <si>
    <t>Autenticó exitosamente el documento como genuino.</t>
  </si>
  <si>
    <t>caser</t>
  </si>
  <si>
    <t>Il faut caser tous les livres dans la bibliothèque.</t>
  </si>
  <si>
    <t>Tienes que poner todos los libros en la biblioteca.</t>
  </si>
  <si>
    <t>répercuter</t>
  </si>
  <si>
    <t>Il va répercuter les coûts sur les clients finaux.</t>
  </si>
  <si>
    <t>Repercutirá los costes a los clientes finales.</t>
  </si>
  <si>
    <t>cofinancer</t>
  </si>
  <si>
    <t>Ils vont cofinancer le projet avec d'autres partenaires.</t>
  </si>
  <si>
    <t>Cofinanciarán el proyecto con otros socios.</t>
  </si>
  <si>
    <t>débiter</t>
  </si>
  <si>
    <t>N'oubliez pas de débiter le montant sur votre compte.</t>
  </si>
  <si>
    <t>No olvides debitar el importe de tu cuenta.</t>
  </si>
  <si>
    <t>zoomer</t>
  </si>
  <si>
    <t>Le photographe va zoomer sur le sujet pour capter les détails.</t>
  </si>
  <si>
    <t>El fotógrafo hará zoom sobre el sujeto para capturar detalles.</t>
  </si>
  <si>
    <t>circonstancier</t>
  </si>
  <si>
    <t>Le rapport doit circonstancier les événements de manière détaillée.</t>
  </si>
  <si>
    <t>El informe debe describir los hechos en detalle.</t>
  </si>
  <si>
    <t>majorer</t>
  </si>
  <si>
    <t>Ils vont majorer les prix en raison de la demande croissante.</t>
  </si>
  <si>
    <t>Subirán los precios debido al aumento de la demanda.</t>
  </si>
  <si>
    <t>ranimer</t>
  </si>
  <si>
    <t>Les secouristes ont réussi à ranimer le patient.</t>
  </si>
  <si>
    <t>Los rescatistas lograron reanimar al paciente.</t>
  </si>
  <si>
    <t>dorer</t>
  </si>
  <si>
    <t>Elle aime dorer les pains au chocolat pour le petit-déjeuner.</t>
  </si>
  <si>
    <t>A ella le gusta dorar el Pain au Chocolat para el desayuno.</t>
  </si>
  <si>
    <t>escompter</t>
  </si>
  <si>
    <t>Il faut escompter les revenus pour l'année à venir.</t>
  </si>
  <si>
    <t>Se deben descontar los ingresos para el próximo año.</t>
  </si>
  <si>
    <t>duper</t>
  </si>
  <si>
    <t>Méfiez-vous des vendeurs qui tentent de vous duper.</t>
  </si>
  <si>
    <t>Tenga cuidado con los vendedores que intentan engañarlo.</t>
  </si>
  <si>
    <t>rabaisser</t>
  </si>
  <si>
    <t>Il faut rabaisser la température du four pour éviter de brûler le gâteau.</t>
  </si>
  <si>
    <t>Es necesario bajar la temperatura del horno para evitar que se queme el bizcocho.</t>
  </si>
  <si>
    <t>broder</t>
  </si>
  <si>
    <t>Elle brode des motifs délicats sur ses coussins.</t>
  </si>
  <si>
    <t>Borda delicados patrones en sus cojines.</t>
  </si>
  <si>
    <t>sous-assurer</t>
  </si>
  <si>
    <t>Il vaut mieux sous-assurer son véhicule que payer des primes élevées.</t>
  </si>
  <si>
    <t>Es mejor asegurar su vehículo de manera insuficiente que pagar primas elevadas.</t>
  </si>
  <si>
    <t>argumenter</t>
  </si>
  <si>
    <t>Il a pris la parole pour argumenter en faveur du projet.</t>
  </si>
  <si>
    <t>Tomó la palabra para defender el proyecto.</t>
  </si>
  <si>
    <t>pondre</t>
  </si>
  <si>
    <t>La poule va pondre un œuf chaque matin.</t>
  </si>
  <si>
    <t>La gallina pondrá un huevo cada mañana.</t>
  </si>
  <si>
    <t>soutirer</t>
  </si>
  <si>
    <t>Il a réussi à soutirer des informations confidentielles.</t>
  </si>
  <si>
    <t>Logró extraer información confidencial.</t>
  </si>
  <si>
    <t>embarrasser</t>
  </si>
  <si>
    <t>Ses blagues ont réussi à embarrasser tout le groupe.</t>
  </si>
  <si>
    <t>Sus bromas lograron avergonzar a todo el grupo.</t>
  </si>
  <si>
    <t>érayer</t>
  </si>
  <si>
    <t>Il doit érayer ses doutes avant de prendre une décision.</t>
  </si>
  <si>
    <t>Debe borrar sus dudas antes de tomar una decisión.</t>
  </si>
  <si>
    <t>rougir</t>
  </si>
  <si>
    <t>Elle a rougi en entendant le compliment.</t>
  </si>
  <si>
    <t>Ella se sonrojó cuando escuchó el cumplido.</t>
  </si>
  <si>
    <t>aiguiser</t>
  </si>
  <si>
    <t>Il faut aiguiser le couteau avant de découper les légumes.</t>
  </si>
  <si>
    <t>Es necesario afilar el cuchillo antes de cortar las verduras.</t>
  </si>
  <si>
    <t>sévir</t>
  </si>
  <si>
    <t>Le gouvernement va sévir contre la fraude fiscale.</t>
  </si>
  <si>
    <t>El gobierno tomará medidas enérgicas contra el fraude fiscal.</t>
  </si>
  <si>
    <t>transiter</t>
  </si>
  <si>
    <t>Les trains vont transiter par la gare principale.</t>
  </si>
  <si>
    <t>Los trenes pasarán por la estación principal.</t>
  </si>
  <si>
    <t>apparier</t>
  </si>
  <si>
    <t>Les chiens sont dressés pour apparier les chasseurs.</t>
  </si>
  <si>
    <t>Los perros están entrenados para enfrentarse a cazadores.</t>
  </si>
  <si>
    <t>ricocher</t>
  </si>
  <si>
    <t>La balle a ricoché sur le sol avant de frapper la cible.</t>
  </si>
  <si>
    <t>La bala rebotó en el suelo antes de dar en el blanco.</t>
  </si>
  <si>
    <t>créditer</t>
  </si>
  <si>
    <t>Il va créditer votre compte dès réception du paiement.</t>
  </si>
  <si>
    <t>Acreditará su cuenta al recibir el pago.</t>
  </si>
  <si>
    <t>germer</t>
  </si>
  <si>
    <t>Les graines vont germer sous l'effet de l'eau et de la chaleur.</t>
  </si>
  <si>
    <t>Las semillas germinarán bajo la influencia del agua y el calor.</t>
  </si>
  <si>
    <t>cohabiter</t>
  </si>
  <si>
    <t>Ils vont cohabiter ensemble malgré leurs différences.</t>
  </si>
  <si>
    <t>Vivirán juntos a pesar de sus diferencias.</t>
  </si>
  <si>
    <t>conteneuriser</t>
  </si>
  <si>
    <t>Les produits seront conteneurisés avant l'exportation.</t>
  </si>
  <si>
    <t>Los productos se colocarán en contenedores antes de la exportación.</t>
  </si>
  <si>
    <t>s'évader</t>
  </si>
  <si>
    <t>Les prisonniers ont réussi à s'évader de la prison.</t>
  </si>
  <si>
    <t>Los presos lograron escapar de la prisión.</t>
  </si>
  <si>
    <t>s'envoler</t>
  </si>
  <si>
    <t>L'avion va s'envoler vers sa destination finale.</t>
  </si>
  <si>
    <t>El avión volará a su destino final.</t>
  </si>
  <si>
    <t>grignoter</t>
  </si>
  <si>
    <t>Il aime grignoter des biscuits tout au long de la journée.</t>
  </si>
  <si>
    <t>Le gusta picar galletas durante todo el día.</t>
  </si>
  <si>
    <t>lubrifier</t>
  </si>
  <si>
    <t>Il faut lubrifier les pièces mobiles pour éviter l'usure.</t>
  </si>
  <si>
    <t>Las piezas móviles deben lubricarse para evitar el desgaste.</t>
  </si>
  <si>
    <t>sous-fermer</t>
  </si>
  <si>
    <t>Ils vont sous-fermer l'usine pendant les vacances.</t>
  </si>
  <si>
    <t>Van a cerrar la fábrica durante las vacaciones.</t>
  </si>
  <si>
    <t>arrondir</t>
  </si>
  <si>
    <t>Elle aime arrondir les angles pour éviter les conflits.</t>
  </si>
  <si>
    <t>Le gusta suavizar los rincones para evitar conflictos.</t>
  </si>
  <si>
    <t>layer</t>
  </si>
  <si>
    <t>Les graphistes vont layer les éléments pour créer une image complexe.</t>
  </si>
  <si>
    <t>Los diseñadores gráficos superpondrán los elementos para crear una imagen compleja.</t>
  </si>
  <si>
    <t>résonner</t>
  </si>
  <si>
    <t>La cloche va résonner pour annoncer la fin des cours.</t>
  </si>
  <si>
    <t>Sonará el timbre para anunciar el fin de clases.</t>
  </si>
  <si>
    <t>subdiviser</t>
  </si>
  <si>
    <t>Il a décidé de subdiviser le terrain en plusieurs lots.</t>
  </si>
  <si>
    <t>Decidió subdividir el terreno en varios lotes.</t>
  </si>
  <si>
    <t>enorgueillir</t>
  </si>
  <si>
    <t>La reconnaissance de ses talents l'a enorgueilli.</t>
  </si>
  <si>
    <t>El reconocimiento de sus talentos lo enorgulleció.</t>
  </si>
  <si>
    <t>remodeler</t>
  </si>
  <si>
    <t>Il faut remodeler cette vieille maison pour la moderniser.</t>
  </si>
  <si>
    <t>Esta antigua casa necesita ser remodelada para modernizarla.</t>
  </si>
  <si>
    <t>accabler</t>
  </si>
  <si>
    <t>Les critiques vont accabler l'équipe après cette défaite.</t>
  </si>
  <si>
    <t>Las críticas abrumarán al equipo tras esta derrota.</t>
  </si>
  <si>
    <t>déplier</t>
  </si>
  <si>
    <t>Il va déplier la carte pour trouver leur position actuelle.</t>
  </si>
  <si>
    <t>Se desplegará el mapa para encontrar su ubicación actual.</t>
  </si>
  <si>
    <t>destituer</t>
  </si>
  <si>
    <t>Ils vont destituer le président pour corruption.</t>
  </si>
  <si>
    <t>Van a destituir al presidente por corrupción.</t>
  </si>
  <si>
    <t>s'amariner</t>
  </si>
  <si>
    <t>Le poisson doit s'amariner dans la sauce avant la cuisson.</t>
  </si>
  <si>
    <t>El pescado debe marinarse en la salsa antes de cocinarlo.</t>
  </si>
  <si>
    <t>tâter</t>
  </si>
  <si>
    <t>Il faut tâter le terrain avant de prendre une décision.</t>
  </si>
  <si>
    <t>Tienes que probar las aguas antes de tomar una decisión.</t>
  </si>
  <si>
    <t>apeurer</t>
  </si>
  <si>
    <t>La nouvelle réglementation va apeurer les investisseurs.</t>
  </si>
  <si>
    <t>Las nuevas regulaciones asustarán a los inversores.</t>
  </si>
  <si>
    <t>éclipser</t>
  </si>
  <si>
    <t>Les nuages vont éclipser le soleil pendant quelques heures.</t>
  </si>
  <si>
    <t>Las nubes eclipsarán al sol durante unas horas.</t>
  </si>
  <si>
    <t>Nous allons au cinéma ce soir.</t>
  </si>
  <si>
    <t>French Verb</t>
  </si>
  <si>
    <t>French Sentence</t>
  </si>
  <si>
    <t>English Verb</t>
  </si>
  <si>
    <t>English Sentence</t>
  </si>
  <si>
    <t>German Verb</t>
  </si>
  <si>
    <t>German Sentence</t>
  </si>
  <si>
    <t>be</t>
  </si>
  <si>
    <t>He is always kind to his friends.</t>
  </si>
  <si>
    <t>sein</t>
  </si>
  <si>
    <t>Er ist immer freundlich zu seinen Freunden.</t>
  </si>
  <si>
    <t>to do</t>
  </si>
  <si>
    <t>She does her homework every day.</t>
  </si>
  <si>
    <t>machen</t>
  </si>
  <si>
    <t>Sie macht jeden Tag ihre Hausaufgaben.</t>
  </si>
  <si>
    <t>to have</t>
  </si>
  <si>
    <t>We have a lot of work to do.</t>
  </si>
  <si>
    <t>haben</t>
  </si>
  <si>
    <t>Wir haben viel Arbeit zu erledigen.</t>
  </si>
  <si>
    <t>see</t>
  </si>
  <si>
    <t>I see a bird in the garden.</t>
  </si>
  <si>
    <t>sehen</t>
  </si>
  <si>
    <t>Ich sehe einen Vogel im Garten.</t>
  </si>
  <si>
    <t>say</t>
  </si>
  <si>
    <t>They always tell the truth.</t>
  </si>
  <si>
    <t>sagen</t>
  </si>
  <si>
    <t>Sie sagen immer die Wahrheit.</t>
  </si>
  <si>
    <t>take</t>
  </si>
  <si>
    <t>She has coffee every morning.</t>
  </si>
  <si>
    <t>nehmen</t>
  </si>
  <si>
    <t>Sie nimmt jeden Morgen einen Kaffee.</t>
  </si>
  <si>
    <t>ensure</t>
  </si>
  <si>
    <t>We provide quality service.</t>
  </si>
  <si>
    <t>Wir gewährleisten einen Qualitätsservice.</t>
  </si>
  <si>
    <t>get</t>
  </si>
  <si>
    <t>They get good results at school.</t>
  </si>
  <si>
    <t>bekommen</t>
  </si>
  <si>
    <t>Sie erzielen gute Ergebnisse in der Schule.</t>
  </si>
  <si>
    <t>She can speak three languages.</t>
  </si>
  <si>
    <t>können</t>
  </si>
  <si>
    <t>Sie kann drei Sprachen sprechen.</t>
  </si>
  <si>
    <t>to use</t>
  </si>
  <si>
    <t>He often uses his computer for work.</t>
  </si>
  <si>
    <t>benutzen</t>
  </si>
  <si>
    <t>Er benutzt oft seinen Computer zum Arbeiten.</t>
  </si>
  <si>
    <t>help</t>
  </si>
  <si>
    <t>She helps her colleagues when they need it.</t>
  </si>
  <si>
    <t>helfen</t>
  </si>
  <si>
    <t>Sie hilft ihren Kollegen, wenn sie Hilfe brauchen.</t>
  </si>
  <si>
    <t>improve</t>
  </si>
  <si>
    <t>We are constantly improving our working methods.</t>
  </si>
  <si>
    <t>verbessern</t>
  </si>
  <si>
    <t>Wir verbessern ständig unsere Arbeitsmethoden.</t>
  </si>
  <si>
    <t>leave</t>
  </si>
  <si>
    <t>He's going on vacation tomorrow.</t>
  </si>
  <si>
    <t>abreisen</t>
  </si>
  <si>
    <t>Er fährt morgen in den Urlaub.</t>
  </si>
  <si>
    <t>know</t>
  </si>
  <si>
    <t>She knows how to play the piano.</t>
  </si>
  <si>
    <t>wissen</t>
  </si>
  <si>
    <t>Sie weiß, wie man Klavier spielt.</t>
  </si>
  <si>
    <t>provide</t>
  </si>
  <si>
    <t>They provide valuable information.</t>
  </si>
  <si>
    <t>liefern</t>
  </si>
  <si>
    <t>Sie liefern wertvolle Informationen.</t>
  </si>
  <si>
    <t>go</t>
  </si>
  <si>
    <t>We're going to the movies tonight.</t>
  </si>
  <si>
    <t>gehen</t>
  </si>
  <si>
    <t>Wir gehen heute Abend ins Kino.</t>
  </si>
  <si>
    <t>give</t>
  </si>
  <si>
    <t>She gives French lessons.</t>
  </si>
  <si>
    <t>geben</t>
  </si>
  <si>
    <t>Sie gibt Französischunterricht.</t>
  </si>
  <si>
    <t>put</t>
  </si>
  <si>
    <t>He sets the table before every meal.</t>
  </si>
  <si>
    <t>stellen</t>
  </si>
  <si>
    <t>Er deckt den Tisch vor jeder Mahlzeit.</t>
  </si>
  <si>
    <t>create</t>
  </si>
  <si>
    <t>We create new products every year.</t>
  </si>
  <si>
    <t>erschaffen</t>
  </si>
  <si>
    <t>Wir schaffen jedes Jahr neue Produkte.</t>
  </si>
  <si>
    <t>find</t>
  </si>
  <si>
    <t>She always finds a solution to problems.</t>
  </si>
  <si>
    <t>finden</t>
  </si>
  <si>
    <t>Sie findet immer eine Lösung für Probleme.</t>
  </si>
  <si>
    <t>allow</t>
  </si>
  <si>
    <t>He allows his children to play outside.</t>
  </si>
  <si>
    <t>erlauben</t>
  </si>
  <si>
    <t>Er erlaubt seinen Kindern draußen zu spielen.</t>
  </si>
  <si>
    <t>to strengthen</t>
  </si>
  <si>
    <t>We are strengthening our commitment to quality.</t>
  </si>
  <si>
    <t>verstärken</t>
  </si>
  <si>
    <t>Wir verstärken unser Engagement für Qualität.</t>
  </si>
  <si>
    <t>talk</t>
  </si>
  <si>
    <t>She speaks fluent English.</t>
  </si>
  <si>
    <t>sprechen</t>
  </si>
  <si>
    <t>Sie spricht fließend Englisch.</t>
  </si>
  <si>
    <t>establish</t>
  </si>
  <si>
    <t>They establish new rules.</t>
  </si>
  <si>
    <t>aufstellen</t>
  </si>
  <si>
    <t>Sie stellen neue Regeln auf.</t>
  </si>
  <si>
    <t>promote</t>
  </si>
  <si>
    <t>It promotes health and well-being.</t>
  </si>
  <si>
    <t>fördern</t>
  </si>
  <si>
    <t>Es fördert Gesundheit und Wohlbefinden.</t>
  </si>
  <si>
    <t>ask</t>
  </si>
  <si>
    <t>She asks her teacher for help.</t>
  </si>
  <si>
    <t>fragen</t>
  </si>
  <si>
    <t>Sie bittet ihren Lehrer um Hilfe.</t>
  </si>
  <si>
    <t>determine</t>
  </si>
  <si>
    <t>We determine the best strategies.</t>
  </si>
  <si>
    <t>bestimmen</t>
  </si>
  <si>
    <t>Wir bestimmen die besten Strategien.</t>
  </si>
  <si>
    <t>to understand</t>
  </si>
  <si>
    <t>He understands difficult concepts quickly.</t>
  </si>
  <si>
    <t>verstehen</t>
  </si>
  <si>
    <t>Er versteht schwierige Konzepte schnell.</t>
  </si>
  <si>
    <t>hold</t>
  </si>
  <si>
    <t>She always keeps her promises.</t>
  </si>
  <si>
    <t>halten</t>
  </si>
  <si>
    <t>Sie hält immer ihre Versprechen.</t>
  </si>
  <si>
    <t>pass</t>
  </si>
  <si>
    <t>We spend time together as a family every weekend.</t>
  </si>
  <si>
    <t>verbringen</t>
  </si>
  <si>
    <t>Wir verbringen jedes Wochenende Zeit mit der Familie.</t>
  </si>
  <si>
    <t>to present</t>
  </si>
  <si>
    <t>He presents his project to his colleagues.</t>
  </si>
  <si>
    <t>präsentieren</t>
  </si>
  <si>
    <t>Er präsentiert sein Projekt seinen Kollegen.</t>
  </si>
  <si>
    <t>apply</t>
  </si>
  <si>
    <t>She is applying the new rules strictly.</t>
  </si>
  <si>
    <t>anwenden</t>
  </si>
  <si>
    <t>Sie wendet die neuen Regeln strikt an.</t>
  </si>
  <si>
    <t>protect</t>
  </si>
  <si>
    <t>We protect the environment by recycling.</t>
  </si>
  <si>
    <t>schützen</t>
  </si>
  <si>
    <t>Wir schützen die Umwelt durch Recycling.</t>
  </si>
  <si>
    <t>reduce</t>
  </si>
  <si>
    <t>They cut back on their spending to save money.</t>
  </si>
  <si>
    <t>reduzieren</t>
  </si>
  <si>
    <t>Sie reduzieren ihre Ausgaben, um zu sparen.</t>
  </si>
  <si>
    <t>give back</t>
  </si>
  <si>
    <t>She visits her grandparents every week.</t>
  </si>
  <si>
    <t>besuchen</t>
  </si>
  <si>
    <t>Sie besucht jede Woche ihre Großeltern.</t>
  </si>
  <si>
    <t>examine</t>
  </si>
  <si>
    <t>We are looking at all available options.</t>
  </si>
  <si>
    <t>prüfen</t>
  </si>
  <si>
    <t>Wir prüfen alle verfügbaren Optionen.</t>
  </si>
  <si>
    <t>It guarantees the quality of its products.</t>
  </si>
  <si>
    <t>garantieren</t>
  </si>
  <si>
    <t>Es garantiert die Qualität seiner Produkte.</t>
  </si>
  <si>
    <t>to work</t>
  </si>
  <si>
    <t>She works hard to succeed.</t>
  </si>
  <si>
    <t>arbeiten</t>
  </si>
  <si>
    <t>Sie arbeitet hart, um erfolgreich zu sein.</t>
  </si>
  <si>
    <t>realize</t>
  </si>
  <si>
    <t>We are making our dreams come true little by little.</t>
  </si>
  <si>
    <t>verwirklichen</t>
  </si>
  <si>
    <t>Wir verwirklichen unsere Träume Schritt für Schritt.</t>
  </si>
  <si>
    <t>to treat</t>
  </si>
  <si>
    <t>They handle data with care.</t>
  </si>
  <si>
    <t>behandeln</t>
  </si>
  <si>
    <t>Sie behandeln die Daten sorgfältig.</t>
  </si>
  <si>
    <t>receive</t>
  </si>
  <si>
    <t>She often receives letters from her friends.</t>
  </si>
  <si>
    <t>erhalten</t>
  </si>
  <si>
    <t>Sie erhält oft Briefe von ihren Freunden.</t>
  </si>
  <si>
    <t>continue</t>
  </si>
  <si>
    <t>We continue to progress every day.</t>
  </si>
  <si>
    <t>fortsetzen</t>
  </si>
  <si>
    <t>Wir machen jeden Tag Fortschritte.</t>
  </si>
  <si>
    <t>produce</t>
  </si>
  <si>
    <t>He produces beautiful works of art.</t>
  </si>
  <si>
    <t>produzieren</t>
  </si>
  <si>
    <t>Er produziert schöne Kunstwerke.</t>
  </si>
  <si>
    <t>to offer</t>
  </si>
  <si>
    <t>She offers her help to the needy.</t>
  </si>
  <si>
    <t>anbieten</t>
  </si>
  <si>
    <t>Sie bietet Bedürftigen ihre Hilfe an.</t>
  </si>
  <si>
    <t>maintain</t>
  </si>
  <si>
    <t>We maintain a good work-life balance.</t>
  </si>
  <si>
    <t>aufrechterhalten</t>
  </si>
  <si>
    <t>Wir erhalten eine gute Work-Life-Balance.</t>
  </si>
  <si>
    <t>to modify</t>
  </si>
  <si>
    <t>He modifies his approach depending on the results.</t>
  </si>
  <si>
    <t>ändern</t>
  </si>
  <si>
    <t>Er ändert seinen Ansatz je nach Ergebnissen.</t>
  </si>
  <si>
    <t>assess</t>
  </si>
  <si>
    <t>She regularly evaluates her performance.</t>
  </si>
  <si>
    <t>bewerten</t>
  </si>
  <si>
    <t>Sie bewertet regelmäßig ihre Leistungen.</t>
  </si>
  <si>
    <t>increase</t>
  </si>
  <si>
    <t>We are increasing our production capacity.</t>
  </si>
  <si>
    <t>erhöhen</t>
  </si>
  <si>
    <t>Wir erhöhen unsere Produktionskapazität.</t>
  </si>
  <si>
    <t>perform</t>
  </si>
  <si>
    <t>They carry out rigorous quality controls.</t>
  </si>
  <si>
    <t>durchführen</t>
  </si>
  <si>
    <t>Sie führen strenge Qualitätskontrollen durch.</t>
  </si>
  <si>
    <t>bring</t>
  </si>
  <si>
    <t>She always brings innovative ideas.</t>
  </si>
  <si>
    <t>bringen</t>
  </si>
  <si>
    <t>Sie bringt immer innovative Ideen.</t>
  </si>
  <si>
    <t>play</t>
  </si>
  <si>
    <t>We play football every Saturday.</t>
  </si>
  <si>
    <t>spielen</t>
  </si>
  <si>
    <t>Wir spielen jeden Samstag Fußball.</t>
  </si>
  <si>
    <t>Vocabulary</t>
  </si>
  <si>
    <t>erledigen</t>
  </si>
  <si>
    <t>complete</t>
  </si>
  <si>
    <t>pronounciation</t>
  </si>
  <si>
    <t>Hausafufgaben</t>
  </si>
  <si>
    <t>Homework</t>
  </si>
  <si>
    <t>haus auf gaben</t>
  </si>
  <si>
    <t>er leee digen</t>
  </si>
  <si>
    <t>Vogel</t>
  </si>
  <si>
    <t>bird</t>
  </si>
  <si>
    <t>Wahrheit</t>
  </si>
  <si>
    <t>Truth</t>
  </si>
  <si>
    <t>oah height</t>
  </si>
  <si>
    <t>gewährleisten</t>
  </si>
  <si>
    <t>Anzeige</t>
  </si>
  <si>
    <t>advertisement</t>
  </si>
  <si>
    <t>an zai ge</t>
  </si>
  <si>
    <t xml:space="preserve">etwas fruher </t>
  </si>
  <si>
    <t>a little 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</si>
</sst>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/>
    <xf numFmtId="0" fontId="0" fillId="3" borderId="0" xfId="0" applyFont="1" applyFill="1" applyAlignment="1"/>
    <xf numFmtId="0" fontId="2" fillId="0" borderId="0" xfId="0" applyFont="1" applyAlignment="1"/>
    <xf numFmtId="0" fontId="0" fillId="4" borderId="0" xfId="0" applyFont="1" applyFill="1" applyAlignment="1"/>
    <xf numFmtId="0" fontId="3" fillId="0" borderId="0" xfId="0" applyFont="1" applyAlignment="1"/>
    <xf numFmtId="0" fontId="3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6BF52A52-394A-11D3-B153-00C04F79FAA6}" ax:persistence="persistPropertyBag">
  <ax:ocxPr ax:name="URL" ax:value=""/>
  <ax:ocxPr ax:name="rate" ax:value="1"/>
  <ax:ocxPr ax:name="balance" ax:value="0"/>
  <ax:ocxPr ax:name="currentPosition" ax:value="1.15"/>
  <ax:ocxPr ax:name="defaultFrame" ax:value=""/>
  <ax:ocxPr ax:name="playCount" ax:value="1"/>
  <ax:ocxPr ax:name="autoStart" ax:value="-1"/>
  <ax:ocxPr ax:name="currentMarker" ax:value="0"/>
  <ax:ocxPr ax:name="invokeURLs" ax:value="-1"/>
  <ax:ocxPr ax:name="baseURL" ax:value=""/>
  <ax:ocxPr ax:name="volume" ax:value="50"/>
  <ax:ocxPr ax:name="mute" ax:value="0"/>
  <ax:ocxPr ax:name="uiMode" ax:value="full"/>
  <ax:ocxPr ax:name="stretchToFit" ax:value="0"/>
  <ax:ocxPr ax:name="windowlessVideo" ax:value="0"/>
  <ax:ocxPr ax:name="enabled" ax:value="-1"/>
  <ax:ocxPr ax:name="enableContextMenu" ax:value="-1"/>
  <ax:ocxPr ax:name="fullScreen" ax:value="0"/>
  <ax:ocxPr ax:name="SAMIStyle" ax:value=""/>
  <ax:ocxPr ax:name="SAMILang" ax:value=""/>
  <ax:ocxPr ax:name="SAMIFilename" ax:value=""/>
  <ax:ocxPr ax:name="captioningID" ax:value=""/>
  <ax:ocxPr ax:name="enableErrorDialogs" ax:value="0"/>
  <ax:ocxPr ax:name="_cx" ax:value="4509"/>
  <ax:ocxPr ax:name="_cy" ax:value="4720"/>
</ax:ocx>
</file>

<file path=xl/activeX/activeX2.xml><?xml version="1.0" encoding="utf-8"?>
<ax:ocx xmlns:ax="http://schemas.microsoft.com/office/2006/activeX" xmlns:r="http://schemas.openxmlformats.org/officeDocument/2006/relationships" ax:classid="{6BF52A52-394A-11D3-B153-00C04F79FAA6}" ax:persistence="persistPropertyBag">
  <ax:ocxPr ax:name="URL" ax:value=""/>
  <ax:ocxPr ax:name="rate" ax:value="1"/>
  <ax:ocxPr ax:name="balance" ax:value="0"/>
  <ax:ocxPr ax:name="currentPosition" ax:value="12.6130215"/>
  <ax:ocxPr ax:name="defaultFrame" ax:value=""/>
  <ax:ocxPr ax:name="playCount" ax:value="1"/>
  <ax:ocxPr ax:name="autoStart" ax:value="-1"/>
  <ax:ocxPr ax:name="currentMarker" ax:value="0"/>
  <ax:ocxPr ax:name="invokeURLs" ax:value="-1"/>
  <ax:ocxPr ax:name="baseURL" ax:value=""/>
  <ax:ocxPr ax:name="volume" ax:value="100"/>
  <ax:ocxPr ax:name="mute" ax:value="0"/>
  <ax:ocxPr ax:name="uiMode" ax:value="full"/>
  <ax:ocxPr ax:name="stretchToFit" ax:value="0"/>
  <ax:ocxPr ax:name="windowlessVideo" ax:value="0"/>
  <ax:ocxPr ax:name="enabled" ax:value="-1"/>
  <ax:ocxPr ax:name="enableContextMenu" ax:value="-1"/>
  <ax:ocxPr ax:name="fullScreen" ax:value="0"/>
  <ax:ocxPr ax:name="SAMIStyle" ax:value=""/>
  <ax:ocxPr ax:name="SAMILang" ax:value=""/>
  <ax:ocxPr ax:name="SAMIFilename" ax:value=""/>
  <ax:ocxPr ax:name="captioningID" ax:value=""/>
  <ax:ocxPr ax:name="enableErrorDialogs" ax:value="0"/>
  <ax:ocxPr ax:name="_cx" ax:value="4509"/>
  <ax:ocxPr ax:name="_cy" ax:value="4699"/>
</ax:ocx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</xdr:row>
          <xdr:rowOff>22860</xdr:rowOff>
        </xdr:from>
        <xdr:to>
          <xdr:col>12</xdr:col>
          <xdr:colOff>457200</xdr:colOff>
          <xdr:row>12</xdr:row>
          <xdr:rowOff>45720</xdr:rowOff>
        </xdr:to>
        <xdr:sp macro="" textlink="">
          <xdr:nvSpPr>
            <xdr:cNvPr id="3073" name="WindowsMediaPlayer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220980</xdr:colOff>
          <xdr:row>27</xdr:row>
          <xdr:rowOff>114300</xdr:rowOff>
        </xdr:from>
        <xdr:to>
          <xdr:col>14</xdr:col>
          <xdr:colOff>220980</xdr:colOff>
          <xdr:row>38</xdr:row>
          <xdr:rowOff>137160</xdr:rowOff>
        </xdr:to>
        <xdr:sp macro="" textlink="">
          <xdr:nvSpPr>
            <xdr:cNvPr id="3075" name="WindowsMediaPlayer2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E2001"/>
  <sheetViews>
    <sheetView topLeftCell="A39" workbookViewId="0">
      <selection activeCell="A62" sqref="A62"/>
    </sheetView>
  </sheetViews>
  <sheetFormatPr defaultColWidth="12.6640625" defaultRowHeight="15.75" customHeight="1" x14ac:dyDescent="0.25"/>
  <cols>
    <col min="1" max="1" width="14.21875" customWidth="1"/>
    <col min="2" max="2" width="44.6640625" customWidth="1"/>
    <col min="3" max="3" width="47" hidden="1" customWidth="1"/>
    <col min="4" max="4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 t="s">
        <v>5</v>
      </c>
      <c r="C2" s="2" t="s">
        <v>6</v>
      </c>
      <c r="D2" s="3" t="str">
        <f ca="1">IFERROR(__xludf.DUMMYFUNCTION("GOOGLETRANSLATE(A2,""fr"",""en"")"),"be")</f>
        <v>be</v>
      </c>
      <c r="E2" s="3" t="str">
        <f ca="1">IFERROR(__xludf.DUMMYFUNCTION("GOOGLETRANSLATE(B2,""fr"",""en"")"),"He is always kind to his friends.")</f>
        <v>He is always kind to his friends.</v>
      </c>
    </row>
    <row r="3" spans="1:5" x14ac:dyDescent="0.25">
      <c r="A3" s="2" t="s">
        <v>7</v>
      </c>
      <c r="B3" s="2" t="s">
        <v>8</v>
      </c>
      <c r="C3" s="3" t="s">
        <v>9</v>
      </c>
      <c r="D3" s="3" t="str">
        <f ca="1">IFERROR(__xludf.DUMMYFUNCTION("GOOGLETRANSLATE(A3,""fr"",""en"")"),"TO DO")</f>
        <v>TO DO</v>
      </c>
      <c r="E3" s="3" t="str">
        <f ca="1">IFERROR(__xludf.DUMMYFUNCTION("GOOGLETRANSLATE(B3,""fr"",""en"")"),"She does her homework every day.")</f>
        <v>She does her homework every day.</v>
      </c>
    </row>
    <row r="4" spans="1:5" x14ac:dyDescent="0.25">
      <c r="A4" s="2" t="s">
        <v>10</v>
      </c>
      <c r="B4" s="2" t="s">
        <v>11</v>
      </c>
      <c r="C4" s="3" t="s">
        <v>12</v>
      </c>
      <c r="D4" s="3" t="str">
        <f ca="1">IFERROR(__xludf.DUMMYFUNCTION("GOOGLETRANSLATE(A4,""fr"",""en"")"),"to have")</f>
        <v>to have</v>
      </c>
      <c r="E4" s="3" t="str">
        <f ca="1">IFERROR(__xludf.DUMMYFUNCTION("GOOGLETRANSLATE(B4,""fr"",""en"")"),"We have a lot of work to do.")</f>
        <v>We have a lot of work to do.</v>
      </c>
    </row>
    <row r="5" spans="1:5" x14ac:dyDescent="0.25">
      <c r="A5" s="2" t="s">
        <v>13</v>
      </c>
      <c r="B5" s="2" t="s">
        <v>14</v>
      </c>
      <c r="C5" s="3" t="s">
        <v>15</v>
      </c>
      <c r="D5" s="3" t="str">
        <f ca="1">IFERROR(__xludf.DUMMYFUNCTION("GOOGLETRANSLATE(A5,""fr"",""en"")"),"see")</f>
        <v>see</v>
      </c>
      <c r="E5" s="3" t="str">
        <f ca="1">IFERROR(__xludf.DUMMYFUNCTION("GOOGLETRANSLATE(B5,""fr"",""en"")"),"I see a bird in the garden.")</f>
        <v>I see a bird in the garden.</v>
      </c>
    </row>
    <row r="6" spans="1:5" x14ac:dyDescent="0.25">
      <c r="A6" s="2" t="s">
        <v>16</v>
      </c>
      <c r="B6" s="2" t="s">
        <v>17</v>
      </c>
      <c r="C6" s="3" t="s">
        <v>18</v>
      </c>
      <c r="D6" s="3" t="str">
        <f ca="1">IFERROR(__xludf.DUMMYFUNCTION("GOOGLETRANSLATE(A6,""fr"",""en"")"),"say")</f>
        <v>say</v>
      </c>
      <c r="E6" s="3" t="str">
        <f ca="1">IFERROR(__xludf.DUMMYFUNCTION("GOOGLETRANSLATE(B6,""fr"",""en"")"),"They always tell the truth.")</f>
        <v>They always tell the truth.</v>
      </c>
    </row>
    <row r="7" spans="1:5" x14ac:dyDescent="0.25">
      <c r="A7" s="2" t="s">
        <v>19</v>
      </c>
      <c r="B7" s="2" t="s">
        <v>20</v>
      </c>
      <c r="C7" s="3" t="s">
        <v>21</v>
      </c>
      <c r="D7" s="3" t="str">
        <f ca="1">IFERROR(__xludf.DUMMYFUNCTION("GOOGLETRANSLATE(A7,""fr"",""en"")"),"take")</f>
        <v>take</v>
      </c>
      <c r="E7" s="3" t="str">
        <f ca="1">IFERROR(__xludf.DUMMYFUNCTION("GOOGLETRANSLATE(B7,""fr"",""en"")"),"She has coffee every morning.")</f>
        <v>She has coffee every morning.</v>
      </c>
    </row>
    <row r="8" spans="1:5" x14ac:dyDescent="0.25">
      <c r="A8" s="2" t="s">
        <v>22</v>
      </c>
      <c r="B8" s="2" t="s">
        <v>23</v>
      </c>
      <c r="C8" s="3" t="s">
        <v>24</v>
      </c>
      <c r="D8" s="3" t="str">
        <f ca="1">IFERROR(__xludf.DUMMYFUNCTION("GOOGLETRANSLATE(A8,""fr"",""en"")"),"ensure")</f>
        <v>ensure</v>
      </c>
      <c r="E8" s="3" t="str">
        <f ca="1">IFERROR(__xludf.DUMMYFUNCTION("GOOGLETRANSLATE(B8,""fr"",""en"")"),"We provide quality service.")</f>
        <v>We provide quality service.</v>
      </c>
    </row>
    <row r="9" spans="1:5" x14ac:dyDescent="0.25">
      <c r="A9" s="2" t="s">
        <v>25</v>
      </c>
      <c r="B9" s="2" t="s">
        <v>26</v>
      </c>
      <c r="C9" s="3" t="s">
        <v>27</v>
      </c>
      <c r="D9" s="3" t="str">
        <f ca="1">IFERROR(__xludf.DUMMYFUNCTION("GOOGLETRANSLATE(A9,""fr"",""en"")"),"get")</f>
        <v>get</v>
      </c>
      <c r="E9" s="3" t="str">
        <f ca="1">IFERROR(__xludf.DUMMYFUNCTION("GOOGLETRANSLATE(B9,""fr"",""en"")"),"They get good results at school.")</f>
        <v>They get good results at school.</v>
      </c>
    </row>
    <row r="10" spans="1:5" x14ac:dyDescent="0.25">
      <c r="A10" s="2" t="s">
        <v>28</v>
      </c>
      <c r="B10" s="2" t="s">
        <v>29</v>
      </c>
      <c r="C10" s="3" t="s">
        <v>30</v>
      </c>
      <c r="D10" s="2" t="s">
        <v>31</v>
      </c>
      <c r="E10" s="3" t="str">
        <f ca="1">IFERROR(__xludf.DUMMYFUNCTION("GOOGLETRANSLATE(B10,""fr"",""en"")"),"She can speak three languages.")</f>
        <v>She can speak three languages.</v>
      </c>
    </row>
    <row r="11" spans="1:5" x14ac:dyDescent="0.25">
      <c r="A11" s="2" t="s">
        <v>32</v>
      </c>
      <c r="B11" s="2" t="s">
        <v>33</v>
      </c>
      <c r="C11" s="3" t="s">
        <v>34</v>
      </c>
      <c r="D11" s="3" t="str">
        <f ca="1">IFERROR(__xludf.DUMMYFUNCTION("GOOGLETRANSLATE(A11,""fr"",""en"")"),"to use")</f>
        <v>to use</v>
      </c>
      <c r="E11" s="3" t="str">
        <f ca="1">IFERROR(__xludf.DUMMYFUNCTION("GOOGLETRANSLATE(B11,""fr"",""en"")"),"He often uses his computer for work.")</f>
        <v>He often uses his computer for work.</v>
      </c>
    </row>
    <row r="12" spans="1:5" x14ac:dyDescent="0.25">
      <c r="A12" s="2" t="s">
        <v>35</v>
      </c>
      <c r="B12" s="2" t="s">
        <v>36</v>
      </c>
      <c r="C12" s="3" t="s">
        <v>37</v>
      </c>
      <c r="D12" s="3" t="str">
        <f ca="1">IFERROR(__xludf.DUMMYFUNCTION("GOOGLETRANSLATE(A12,""fr"",""en"")"),"help")</f>
        <v>help</v>
      </c>
      <c r="E12" s="3" t="str">
        <f ca="1">IFERROR(__xludf.DUMMYFUNCTION("GOOGLETRANSLATE(B12,""fr"",""en"")"),"She helps her colleagues when they need it.")</f>
        <v>She helps her colleagues when they need it.</v>
      </c>
    </row>
    <row r="13" spans="1:5" x14ac:dyDescent="0.25">
      <c r="A13" s="2" t="s">
        <v>38</v>
      </c>
      <c r="B13" s="2" t="s">
        <v>39</v>
      </c>
      <c r="C13" s="3" t="s">
        <v>40</v>
      </c>
      <c r="D13" s="3" t="str">
        <f ca="1">IFERROR(__xludf.DUMMYFUNCTION("GOOGLETRANSLATE(A13,""fr"",""en"")"),"improve")</f>
        <v>improve</v>
      </c>
      <c r="E13" s="3" t="str">
        <f ca="1">IFERROR(__xludf.DUMMYFUNCTION("GOOGLETRANSLATE(B13,""fr"",""en"")"),"We are constantly improving our working methods.")</f>
        <v>We are constantly improving our working methods.</v>
      </c>
    </row>
    <row r="14" spans="1:5" x14ac:dyDescent="0.25">
      <c r="A14" s="2" t="s">
        <v>41</v>
      </c>
      <c r="B14" s="2" t="s">
        <v>42</v>
      </c>
      <c r="C14" s="3" t="s">
        <v>43</v>
      </c>
      <c r="D14" s="3" t="str">
        <f ca="1">IFERROR(__xludf.DUMMYFUNCTION("GOOGLETRANSLATE(A14,""fr"",""en"")"),"leave")</f>
        <v>leave</v>
      </c>
      <c r="E14" s="3" t="str">
        <f ca="1">IFERROR(__xludf.DUMMYFUNCTION("GOOGLETRANSLATE(B14,""fr"",""en"")"),"He's going on vacation tomorrow.")</f>
        <v>He's going on vacation tomorrow.</v>
      </c>
    </row>
    <row r="15" spans="1:5" x14ac:dyDescent="0.25">
      <c r="A15" s="2" t="s">
        <v>44</v>
      </c>
      <c r="B15" s="2" t="s">
        <v>45</v>
      </c>
      <c r="C15" s="3" t="s">
        <v>46</v>
      </c>
      <c r="D15" s="3" t="str">
        <f ca="1">IFERROR(__xludf.DUMMYFUNCTION("GOOGLETRANSLATE(A15,""fr"",""en"")"),"know")</f>
        <v>know</v>
      </c>
      <c r="E15" s="3" t="str">
        <f ca="1">IFERROR(__xludf.DUMMYFUNCTION("GOOGLETRANSLATE(B15,""fr"",""en"")"),"She knows how to play the piano.")</f>
        <v>She knows how to play the piano.</v>
      </c>
    </row>
    <row r="16" spans="1:5" x14ac:dyDescent="0.25">
      <c r="A16" s="2" t="s">
        <v>47</v>
      </c>
      <c r="B16" s="2" t="s">
        <v>48</v>
      </c>
      <c r="C16" s="3" t="s">
        <v>49</v>
      </c>
      <c r="D16" s="3" t="str">
        <f ca="1">IFERROR(__xludf.DUMMYFUNCTION("GOOGLETRANSLATE(A16,""fr"",""en"")"),"provide")</f>
        <v>provide</v>
      </c>
      <c r="E16" s="3" t="str">
        <f ca="1">IFERROR(__xludf.DUMMYFUNCTION("GOOGLETRANSLATE(B16,""fr"",""en"")"),"They provide valuable information.")</f>
        <v>They provide valuable information.</v>
      </c>
    </row>
    <row r="17" spans="1:5" x14ac:dyDescent="0.25">
      <c r="A17" s="2" t="s">
        <v>50</v>
      </c>
      <c r="B17" s="2" t="s">
        <v>51</v>
      </c>
      <c r="C17" s="3" t="s">
        <v>52</v>
      </c>
      <c r="D17" s="3" t="str">
        <f ca="1">IFERROR(__xludf.DUMMYFUNCTION("GOOGLETRANSLATE(A17,""fr"",""en"")"),"go")</f>
        <v>go</v>
      </c>
      <c r="E17" s="3" t="str">
        <f ca="1">IFERROR(__xludf.DUMMYFUNCTION("GOOGLETRANSLATE(B17,""fr"",""en"")"),"We're going to the movies tonight.")</f>
        <v>We're going to the movies tonight.</v>
      </c>
    </row>
    <row r="18" spans="1:5" x14ac:dyDescent="0.25">
      <c r="A18" s="2" t="s">
        <v>53</v>
      </c>
      <c r="B18" s="2" t="s">
        <v>54</v>
      </c>
      <c r="C18" s="3" t="s">
        <v>55</v>
      </c>
      <c r="D18" s="3" t="str">
        <f ca="1">IFERROR(__xludf.DUMMYFUNCTION("GOOGLETRANSLATE(A18,""fr"",""en"")"),"give")</f>
        <v>give</v>
      </c>
      <c r="E18" s="3" t="str">
        <f ca="1">IFERROR(__xludf.DUMMYFUNCTION("GOOGLETRANSLATE(B18,""fr"",""en"")"),"She gives French lessons.")</f>
        <v>She gives French lessons.</v>
      </c>
    </row>
    <row r="19" spans="1:5" x14ac:dyDescent="0.25">
      <c r="A19" s="2" t="s">
        <v>56</v>
      </c>
      <c r="B19" s="2" t="s">
        <v>57</v>
      </c>
      <c r="C19" s="3" t="s">
        <v>58</v>
      </c>
      <c r="D19" s="3" t="str">
        <f ca="1">IFERROR(__xludf.DUMMYFUNCTION("GOOGLETRANSLATE(A19,""fr"",""en"")"),"put")</f>
        <v>put</v>
      </c>
      <c r="E19" s="3" t="str">
        <f ca="1">IFERROR(__xludf.DUMMYFUNCTION("GOOGLETRANSLATE(B19,""fr"",""en"")"),"He sets the table before every meal.")</f>
        <v>He sets the table before every meal.</v>
      </c>
    </row>
    <row r="20" spans="1:5" x14ac:dyDescent="0.25">
      <c r="A20" s="2" t="s">
        <v>59</v>
      </c>
      <c r="B20" s="2" t="s">
        <v>60</v>
      </c>
      <c r="C20" s="3" t="s">
        <v>61</v>
      </c>
      <c r="D20" s="3" t="str">
        <f ca="1">IFERROR(__xludf.DUMMYFUNCTION("GOOGLETRANSLATE(A20,""fr"",""en"")"),"create")</f>
        <v>create</v>
      </c>
      <c r="E20" s="3" t="str">
        <f ca="1">IFERROR(__xludf.DUMMYFUNCTION("GOOGLETRANSLATE(B20,""fr"",""en"")"),"We create new products every year.")</f>
        <v>We create new products every year.</v>
      </c>
    </row>
    <row r="21" spans="1:5" x14ac:dyDescent="0.25">
      <c r="A21" s="2" t="s">
        <v>62</v>
      </c>
      <c r="B21" s="2" t="s">
        <v>63</v>
      </c>
      <c r="C21" s="3" t="s">
        <v>64</v>
      </c>
      <c r="D21" s="3" t="str">
        <f ca="1">IFERROR(__xludf.DUMMYFUNCTION("GOOGLETRANSLATE(A21,""fr"",""en"")"),"find")</f>
        <v>find</v>
      </c>
      <c r="E21" s="3" t="str">
        <f ca="1">IFERROR(__xludf.DUMMYFUNCTION("GOOGLETRANSLATE(B21,""fr"",""en"")"),"She always finds a solution to problems.")</f>
        <v>She always finds a solution to problems.</v>
      </c>
    </row>
    <row r="22" spans="1:5" x14ac:dyDescent="0.25">
      <c r="A22" s="2" t="s">
        <v>65</v>
      </c>
      <c r="B22" s="2" t="s">
        <v>66</v>
      </c>
      <c r="C22" s="3" t="s">
        <v>67</v>
      </c>
      <c r="D22" s="3" t="str">
        <f ca="1">IFERROR(__xludf.DUMMYFUNCTION("GOOGLETRANSLATE(A22,""fr"",""en"")"),"allow")</f>
        <v>allow</v>
      </c>
      <c r="E22" s="3" t="str">
        <f ca="1">IFERROR(__xludf.DUMMYFUNCTION("GOOGLETRANSLATE(B22,""fr"",""en"")"),"He allows his children to play outside.")</f>
        <v>He allows his children to play outside.</v>
      </c>
    </row>
    <row r="23" spans="1:5" x14ac:dyDescent="0.25">
      <c r="A23" s="2" t="s">
        <v>68</v>
      </c>
      <c r="B23" s="2" t="s">
        <v>69</v>
      </c>
      <c r="C23" s="3" t="s">
        <v>70</v>
      </c>
      <c r="D23" s="3" t="str">
        <f ca="1">IFERROR(__xludf.DUMMYFUNCTION("GOOGLETRANSLATE(A23,""fr"",""en"")"),"to strenghten")</f>
        <v>to strenghten</v>
      </c>
      <c r="E23" s="3" t="str">
        <f ca="1">IFERROR(__xludf.DUMMYFUNCTION("GOOGLETRANSLATE(B23,""fr"",""en"")"),"We are strengthening our commitment to quality.")</f>
        <v>We are strengthening our commitment to quality.</v>
      </c>
    </row>
    <row r="24" spans="1:5" x14ac:dyDescent="0.25">
      <c r="A24" s="2" t="s">
        <v>71</v>
      </c>
      <c r="B24" s="2" t="s">
        <v>72</v>
      </c>
      <c r="C24" s="3" t="s">
        <v>73</v>
      </c>
      <c r="D24" s="3" t="str">
        <f ca="1">IFERROR(__xludf.DUMMYFUNCTION("GOOGLETRANSLATE(A24,""fr"",""en"")"),"talk")</f>
        <v>talk</v>
      </c>
      <c r="E24" s="3" t="str">
        <f ca="1">IFERROR(__xludf.DUMMYFUNCTION("GOOGLETRANSLATE(B24,""fr"",""en"")"),"She speaks fluent English.")</f>
        <v>She speaks fluent English.</v>
      </c>
    </row>
    <row r="25" spans="1:5" x14ac:dyDescent="0.25">
      <c r="A25" s="2" t="s">
        <v>74</v>
      </c>
      <c r="B25" s="2" t="s">
        <v>75</v>
      </c>
      <c r="C25" s="3" t="s">
        <v>76</v>
      </c>
      <c r="D25" s="3" t="str">
        <f ca="1">IFERROR(__xludf.DUMMYFUNCTION("GOOGLETRANSLATE(A25,""fr"",""en"")"),"establish")</f>
        <v>establish</v>
      </c>
      <c r="E25" s="3" t="str">
        <f ca="1">IFERROR(__xludf.DUMMYFUNCTION("GOOGLETRANSLATE(B25,""fr"",""en"")"),"They establish new rules.")</f>
        <v>They establish new rules.</v>
      </c>
    </row>
    <row r="26" spans="1:5" x14ac:dyDescent="0.25">
      <c r="A26" s="2" t="s">
        <v>77</v>
      </c>
      <c r="B26" s="2" t="s">
        <v>78</v>
      </c>
      <c r="C26" s="3" t="s">
        <v>79</v>
      </c>
      <c r="D26" s="3" t="str">
        <f ca="1">IFERROR(__xludf.DUMMYFUNCTION("GOOGLETRANSLATE(A26,""fr"",""en"")"),"promote")</f>
        <v>promote</v>
      </c>
      <c r="E26" s="3" t="str">
        <f ca="1">IFERROR(__xludf.DUMMYFUNCTION("GOOGLETRANSLATE(B26,""fr"",""en"")"),"It promotes health and well-being.")</f>
        <v>It promotes health and well-being.</v>
      </c>
    </row>
    <row r="27" spans="1:5" x14ac:dyDescent="0.25">
      <c r="A27" s="2" t="s">
        <v>80</v>
      </c>
      <c r="B27" s="2" t="s">
        <v>81</v>
      </c>
      <c r="C27" s="3" t="s">
        <v>82</v>
      </c>
      <c r="D27" s="3" t="str">
        <f ca="1">IFERROR(__xludf.DUMMYFUNCTION("GOOGLETRANSLATE(A27,""fr"",""en"")"),"ask")</f>
        <v>ask</v>
      </c>
      <c r="E27" s="3" t="str">
        <f ca="1">IFERROR(__xludf.DUMMYFUNCTION("GOOGLETRANSLATE(B27,""fr"",""en"")"),"She asks her teacher for help.")</f>
        <v>She asks her teacher for help.</v>
      </c>
    </row>
    <row r="28" spans="1:5" x14ac:dyDescent="0.25">
      <c r="A28" s="2" t="s">
        <v>83</v>
      </c>
      <c r="B28" s="2" t="s">
        <v>84</v>
      </c>
      <c r="C28" s="3" t="s">
        <v>85</v>
      </c>
      <c r="D28" s="3" t="str">
        <f ca="1">IFERROR(__xludf.DUMMYFUNCTION("GOOGLETRANSLATE(A28,""fr"",""en"")"),"determine")</f>
        <v>determine</v>
      </c>
      <c r="E28" s="3" t="str">
        <f ca="1">IFERROR(__xludf.DUMMYFUNCTION("GOOGLETRANSLATE(B28,""fr"",""en"")"),"We determine the best strategies.")</f>
        <v>We determine the best strategies.</v>
      </c>
    </row>
    <row r="29" spans="1:5" x14ac:dyDescent="0.25">
      <c r="A29" s="2" t="s">
        <v>86</v>
      </c>
      <c r="B29" s="2" t="s">
        <v>87</v>
      </c>
      <c r="C29" s="3" t="s">
        <v>88</v>
      </c>
      <c r="D29" s="3" t="str">
        <f ca="1">IFERROR(__xludf.DUMMYFUNCTION("GOOGLETRANSLATE(A29,""fr"",""en"")"),"to understand")</f>
        <v>to understand</v>
      </c>
      <c r="E29" s="3" t="str">
        <f ca="1">IFERROR(__xludf.DUMMYFUNCTION("GOOGLETRANSLATE(B29,""fr"",""en"")"),"He understands difficult concepts quickly.")</f>
        <v>He understands difficult concepts quickly.</v>
      </c>
    </row>
    <row r="30" spans="1:5" x14ac:dyDescent="0.25">
      <c r="A30" s="2" t="s">
        <v>89</v>
      </c>
      <c r="B30" s="2" t="s">
        <v>90</v>
      </c>
      <c r="C30" s="3" t="s">
        <v>91</v>
      </c>
      <c r="D30" s="3" t="str">
        <f ca="1">IFERROR(__xludf.DUMMYFUNCTION("GOOGLETRANSLATE(A30,""fr"",""en"")"),"hold")</f>
        <v>hold</v>
      </c>
      <c r="E30" s="3" t="str">
        <f ca="1">IFERROR(__xludf.DUMMYFUNCTION("GOOGLETRANSLATE(B30,""fr"",""en"")"),"She always keeps her promises.")</f>
        <v>She always keeps her promises.</v>
      </c>
    </row>
    <row r="31" spans="1:5" x14ac:dyDescent="0.25">
      <c r="A31" s="2" t="s">
        <v>92</v>
      </c>
      <c r="B31" s="2" t="s">
        <v>93</v>
      </c>
      <c r="C31" s="3" t="s">
        <v>94</v>
      </c>
      <c r="D31" s="3" t="str">
        <f ca="1">IFERROR(__xludf.DUMMYFUNCTION("GOOGLETRANSLATE(A31,""fr"",""en"")"),"pass")</f>
        <v>pass</v>
      </c>
      <c r="E31" s="3" t="str">
        <f ca="1">IFERROR(__xludf.DUMMYFUNCTION("GOOGLETRANSLATE(B31,""fr"",""en"")"),"We spend time together as a family every weekend.")</f>
        <v>We spend time together as a family every weekend.</v>
      </c>
    </row>
    <row r="32" spans="1:5" x14ac:dyDescent="0.25">
      <c r="A32" s="2" t="s">
        <v>95</v>
      </c>
      <c r="B32" s="2" t="s">
        <v>96</v>
      </c>
      <c r="C32" s="3" t="s">
        <v>97</v>
      </c>
      <c r="D32" s="3" t="str">
        <f ca="1">IFERROR(__xludf.DUMMYFUNCTION("GOOGLETRANSLATE(A32,""fr"",""en"")"),"to present")</f>
        <v>to present</v>
      </c>
      <c r="E32" s="3" t="str">
        <f ca="1">IFERROR(__xludf.DUMMYFUNCTION("GOOGLETRANSLATE(B32,""fr"",""en"")"),"He presents his project to his colleagues.")</f>
        <v>He presents his project to his colleagues.</v>
      </c>
    </row>
    <row r="33" spans="1:5" x14ac:dyDescent="0.25">
      <c r="A33" s="2" t="s">
        <v>98</v>
      </c>
      <c r="B33" s="2" t="s">
        <v>99</v>
      </c>
      <c r="C33" s="3" t="s">
        <v>100</v>
      </c>
      <c r="D33" s="3" t="str">
        <f ca="1">IFERROR(__xludf.DUMMYFUNCTION("GOOGLETRANSLATE(A33,""fr"",""en"")"),"apply")</f>
        <v>apply</v>
      </c>
      <c r="E33" s="3" t="str">
        <f ca="1">IFERROR(__xludf.DUMMYFUNCTION("GOOGLETRANSLATE(B33,""fr"",""en"")"),"She is applying the new rules strictly.")</f>
        <v>She is applying the new rules strictly.</v>
      </c>
    </row>
    <row r="34" spans="1:5" x14ac:dyDescent="0.25">
      <c r="A34" s="2" t="s">
        <v>101</v>
      </c>
      <c r="B34" s="2" t="s">
        <v>102</v>
      </c>
      <c r="C34" s="3" t="s">
        <v>103</v>
      </c>
      <c r="D34" s="3" t="str">
        <f ca="1">IFERROR(__xludf.DUMMYFUNCTION("GOOGLETRANSLATE(A34,""fr"",""en"")"),"protect")</f>
        <v>protect</v>
      </c>
      <c r="E34" s="3" t="str">
        <f ca="1">IFERROR(__xludf.DUMMYFUNCTION("GOOGLETRANSLATE(B34,""fr"",""en"")"),"We protect the environment by recycling.")</f>
        <v>We protect the environment by recycling.</v>
      </c>
    </row>
    <row r="35" spans="1:5" x14ac:dyDescent="0.25">
      <c r="A35" s="2" t="s">
        <v>104</v>
      </c>
      <c r="B35" s="2" t="s">
        <v>105</v>
      </c>
      <c r="C35" s="3" t="s">
        <v>106</v>
      </c>
      <c r="D35" s="3" t="str">
        <f ca="1">IFERROR(__xludf.DUMMYFUNCTION("GOOGLETRANSLATE(A35,""fr"",""en"")"),"reduce")</f>
        <v>reduce</v>
      </c>
      <c r="E35" s="3" t="str">
        <f ca="1">IFERROR(__xludf.DUMMYFUNCTION("GOOGLETRANSLATE(B35,""fr"",""en"")"),"They cut back on their spending to save money.")</f>
        <v>They cut back on their spending to save money.</v>
      </c>
    </row>
    <row r="36" spans="1:5" x14ac:dyDescent="0.25">
      <c r="A36" s="2" t="s">
        <v>107</v>
      </c>
      <c r="B36" s="2" t="s">
        <v>108</v>
      </c>
      <c r="C36" s="3" t="s">
        <v>109</v>
      </c>
      <c r="D36" s="3" t="str">
        <f ca="1">IFERROR(__xludf.DUMMYFUNCTION("GOOGLETRANSLATE(A36,""fr"",""en"")"),"give back")</f>
        <v>give back</v>
      </c>
      <c r="E36" s="3" t="str">
        <f ca="1">IFERROR(__xludf.DUMMYFUNCTION("GOOGLETRANSLATE(B36,""fr"",""en"")"),"She visits her grandparents every week.")</f>
        <v>She visits her grandparents every week.</v>
      </c>
    </row>
    <row r="37" spans="1:5" x14ac:dyDescent="0.25">
      <c r="A37" s="2" t="s">
        <v>110</v>
      </c>
      <c r="B37" s="2" t="s">
        <v>111</v>
      </c>
      <c r="C37" s="3" t="s">
        <v>112</v>
      </c>
      <c r="D37" s="3" t="str">
        <f ca="1">IFERROR(__xludf.DUMMYFUNCTION("GOOGLETRANSLATE(A37,""fr"",""en"")"),"examine")</f>
        <v>examine</v>
      </c>
      <c r="E37" s="3" t="str">
        <f ca="1">IFERROR(__xludf.DUMMYFUNCTION("GOOGLETRANSLATE(B37,""fr"",""en"")"),"We are looking at all available options.")</f>
        <v>We are looking at all available options.</v>
      </c>
    </row>
    <row r="38" spans="1:5" x14ac:dyDescent="0.25">
      <c r="A38" s="2" t="s">
        <v>113</v>
      </c>
      <c r="B38" s="2" t="s">
        <v>114</v>
      </c>
      <c r="C38" s="3" t="s">
        <v>115</v>
      </c>
      <c r="D38" s="3" t="str">
        <f ca="1">IFERROR(__xludf.DUMMYFUNCTION("GOOGLETRANSLATE(A38,""fr"",""en"")"),"ensure")</f>
        <v>ensure</v>
      </c>
      <c r="E38" s="3" t="str">
        <f ca="1">IFERROR(__xludf.DUMMYFUNCTION("GOOGLETRANSLATE(B38,""fr"",""en"")"),"It guarantees the quality of its products.")</f>
        <v>It guarantees the quality of its products.</v>
      </c>
    </row>
    <row r="39" spans="1:5" x14ac:dyDescent="0.25">
      <c r="A39" s="2" t="s">
        <v>116</v>
      </c>
      <c r="B39" s="2" t="s">
        <v>117</v>
      </c>
      <c r="C39" s="3" t="s">
        <v>118</v>
      </c>
      <c r="D39" s="3" t="str">
        <f ca="1">IFERROR(__xludf.DUMMYFUNCTION("GOOGLETRANSLATE(A39,""fr"",""en"")"),"to work")</f>
        <v>to work</v>
      </c>
      <c r="E39" s="3" t="str">
        <f ca="1">IFERROR(__xludf.DUMMYFUNCTION("GOOGLETRANSLATE(B39,""fr"",""en"")"),"She works hard to succeed.")</f>
        <v>She works hard to succeed.</v>
      </c>
    </row>
    <row r="40" spans="1:5" x14ac:dyDescent="0.25">
      <c r="A40" s="2" t="s">
        <v>119</v>
      </c>
      <c r="B40" s="2" t="s">
        <v>120</v>
      </c>
      <c r="C40" s="3" t="s">
        <v>121</v>
      </c>
      <c r="D40" s="3" t="str">
        <f ca="1">IFERROR(__xludf.DUMMYFUNCTION("GOOGLETRANSLATE(A40,""fr"",""en"")"),"realize")</f>
        <v>realize</v>
      </c>
      <c r="E40" s="3" t="str">
        <f ca="1">IFERROR(__xludf.DUMMYFUNCTION("GOOGLETRANSLATE(B40,""fr"",""en"")"),"We are making our dreams come true little by little.")</f>
        <v>We are making our dreams come true little by little.</v>
      </c>
    </row>
    <row r="41" spans="1:5" x14ac:dyDescent="0.25">
      <c r="A41" s="2" t="s">
        <v>122</v>
      </c>
      <c r="B41" s="2" t="s">
        <v>123</v>
      </c>
      <c r="C41" s="3" t="s">
        <v>124</v>
      </c>
      <c r="D41" s="3" t="str">
        <f ca="1">IFERROR(__xludf.DUMMYFUNCTION("GOOGLETRANSLATE(A41,""fr"",""en"")"),"to treat")</f>
        <v>to treat</v>
      </c>
      <c r="E41" s="3" t="str">
        <f ca="1">IFERROR(__xludf.DUMMYFUNCTION("GOOGLETRANSLATE(B41,""fr"",""en"")"),"They handle data with care.")</f>
        <v>They handle data with care.</v>
      </c>
    </row>
    <row r="42" spans="1:5" x14ac:dyDescent="0.25">
      <c r="A42" s="2" t="s">
        <v>125</v>
      </c>
      <c r="B42" s="2" t="s">
        <v>126</v>
      </c>
      <c r="C42" s="3" t="s">
        <v>127</v>
      </c>
      <c r="D42" s="3" t="str">
        <f ca="1">IFERROR(__xludf.DUMMYFUNCTION("GOOGLETRANSLATE(A42,""fr"",""en"")"),"receive")</f>
        <v>receive</v>
      </c>
      <c r="E42" s="3" t="str">
        <f ca="1">IFERROR(__xludf.DUMMYFUNCTION("GOOGLETRANSLATE(B42,""fr"",""en"")"),"She often receives letters from her friends.")</f>
        <v>She often receives letters from her friends.</v>
      </c>
    </row>
    <row r="43" spans="1:5" x14ac:dyDescent="0.25">
      <c r="A43" s="2" t="s">
        <v>128</v>
      </c>
      <c r="B43" s="2" t="s">
        <v>129</v>
      </c>
      <c r="C43" s="3" t="s">
        <v>130</v>
      </c>
      <c r="D43" s="3" t="str">
        <f ca="1">IFERROR(__xludf.DUMMYFUNCTION("GOOGLETRANSLATE(A43,""fr"",""en"")"),"continue")</f>
        <v>continue</v>
      </c>
      <c r="E43" s="3" t="str">
        <f ca="1">IFERROR(__xludf.DUMMYFUNCTION("GOOGLETRANSLATE(B43,""fr"",""en"")"),"We continue to progress every day.")</f>
        <v>We continue to progress every day.</v>
      </c>
    </row>
    <row r="44" spans="1:5" x14ac:dyDescent="0.25">
      <c r="A44" s="2" t="s">
        <v>131</v>
      </c>
      <c r="B44" s="2" t="s">
        <v>132</v>
      </c>
      <c r="C44" s="3" t="s">
        <v>133</v>
      </c>
      <c r="D44" s="3" t="str">
        <f ca="1">IFERROR(__xludf.DUMMYFUNCTION("GOOGLETRANSLATE(A44,""fr"",""en"")"),"produce")</f>
        <v>produce</v>
      </c>
      <c r="E44" s="3" t="str">
        <f ca="1">IFERROR(__xludf.DUMMYFUNCTION("GOOGLETRANSLATE(B44,""fr"",""en"")"),"He produces beautiful works of art.")</f>
        <v>He produces beautiful works of art.</v>
      </c>
    </row>
    <row r="45" spans="1:5" x14ac:dyDescent="0.25">
      <c r="A45" s="2" t="s">
        <v>134</v>
      </c>
      <c r="B45" s="2" t="s">
        <v>135</v>
      </c>
      <c r="C45" s="3" t="s">
        <v>136</v>
      </c>
      <c r="D45" s="3" t="str">
        <f ca="1">IFERROR(__xludf.DUMMYFUNCTION("GOOGLETRANSLATE(A45,""fr"",""en"")"),"to offer")</f>
        <v>to offer</v>
      </c>
      <c r="E45" s="3" t="str">
        <f ca="1">IFERROR(__xludf.DUMMYFUNCTION("GOOGLETRANSLATE(B45,""fr"",""en"")"),"She offers her help to the needy.")</f>
        <v>She offers her help to the needy.</v>
      </c>
    </row>
    <row r="46" spans="1:5" x14ac:dyDescent="0.25">
      <c r="A46" s="2" t="s">
        <v>137</v>
      </c>
      <c r="B46" s="2" t="s">
        <v>138</v>
      </c>
      <c r="C46" s="3" t="s">
        <v>139</v>
      </c>
      <c r="D46" s="3" t="str">
        <f ca="1">IFERROR(__xludf.DUMMYFUNCTION("GOOGLETRANSLATE(A46,""fr"",""en"")"),"maintain")</f>
        <v>maintain</v>
      </c>
      <c r="E46" s="3" t="str">
        <f ca="1">IFERROR(__xludf.DUMMYFUNCTION("GOOGLETRANSLATE(B46,""fr"",""en"")"),"We maintain a good work-life balance.")</f>
        <v>We maintain a good work-life balance.</v>
      </c>
    </row>
    <row r="47" spans="1:5" x14ac:dyDescent="0.25">
      <c r="A47" s="2" t="s">
        <v>140</v>
      </c>
      <c r="B47" s="2" t="s">
        <v>141</v>
      </c>
      <c r="C47" s="3" t="s">
        <v>142</v>
      </c>
      <c r="D47" s="3" t="str">
        <f ca="1">IFERROR(__xludf.DUMMYFUNCTION("GOOGLETRANSLATE(A47,""fr"",""en"")"),"to modify")</f>
        <v>to modify</v>
      </c>
      <c r="E47" s="3" t="str">
        <f ca="1">IFERROR(__xludf.DUMMYFUNCTION("GOOGLETRANSLATE(B47,""fr"",""en"")"),"He modifies his approach depending on the results.")</f>
        <v>He modifies his approach depending on the results.</v>
      </c>
    </row>
    <row r="48" spans="1:5" x14ac:dyDescent="0.25">
      <c r="A48" s="2" t="s">
        <v>143</v>
      </c>
      <c r="B48" s="2" t="s">
        <v>144</v>
      </c>
      <c r="C48" s="3" t="s">
        <v>145</v>
      </c>
      <c r="D48" s="3" t="str">
        <f ca="1">IFERROR(__xludf.DUMMYFUNCTION("GOOGLETRANSLATE(A48,""fr"",""en"")"),"assess")</f>
        <v>assess</v>
      </c>
      <c r="E48" s="3" t="str">
        <f ca="1">IFERROR(__xludf.DUMMYFUNCTION("GOOGLETRANSLATE(B48,""fr"",""en"")"),"She regularly evaluates her performance.")</f>
        <v>She regularly evaluates her performance.</v>
      </c>
    </row>
    <row r="49" spans="1:5" x14ac:dyDescent="0.25">
      <c r="A49" s="2" t="s">
        <v>146</v>
      </c>
      <c r="B49" s="2" t="s">
        <v>147</v>
      </c>
      <c r="C49" s="3" t="s">
        <v>148</v>
      </c>
      <c r="D49" s="3" t="str">
        <f ca="1">IFERROR(__xludf.DUMMYFUNCTION("GOOGLETRANSLATE(A49,""fr"",""en"")"),"increase")</f>
        <v>increase</v>
      </c>
      <c r="E49" s="3" t="str">
        <f ca="1">IFERROR(__xludf.DUMMYFUNCTION("GOOGLETRANSLATE(B49,""fr"",""en"")"),"We are increasing our production capacity.")</f>
        <v>We are increasing our production capacity.</v>
      </c>
    </row>
    <row r="50" spans="1:5" x14ac:dyDescent="0.25">
      <c r="A50" s="2" t="s">
        <v>149</v>
      </c>
      <c r="B50" s="2" t="s">
        <v>150</v>
      </c>
      <c r="C50" s="3" t="s">
        <v>151</v>
      </c>
      <c r="D50" s="3" t="str">
        <f ca="1">IFERROR(__xludf.DUMMYFUNCTION("GOOGLETRANSLATE(A50,""fr"",""en"")"),"perform")</f>
        <v>perform</v>
      </c>
      <c r="E50" s="3" t="str">
        <f ca="1">IFERROR(__xludf.DUMMYFUNCTION("GOOGLETRANSLATE(B50,""fr"",""en"")"),"They carry out rigorous quality controls.")</f>
        <v>They carry out rigorous quality controls.</v>
      </c>
    </row>
    <row r="51" spans="1:5" x14ac:dyDescent="0.25">
      <c r="A51" s="2" t="s">
        <v>152</v>
      </c>
      <c r="B51" s="2" t="s">
        <v>153</v>
      </c>
      <c r="C51" s="3" t="s">
        <v>154</v>
      </c>
      <c r="D51" s="3" t="str">
        <f ca="1">IFERROR(__xludf.DUMMYFUNCTION("GOOGLETRANSLATE(A51,""fr"",""en"")"),"bring")</f>
        <v>bring</v>
      </c>
      <c r="E51" s="3" t="str">
        <f ca="1">IFERROR(__xludf.DUMMYFUNCTION("GOOGLETRANSLATE(B51,""fr"",""en"")"),"She always brings innovative ideas.")</f>
        <v>She always brings innovative ideas.</v>
      </c>
    </row>
    <row r="52" spans="1:5" x14ac:dyDescent="0.25">
      <c r="A52" s="2" t="s">
        <v>155</v>
      </c>
      <c r="B52" s="2" t="s">
        <v>156</v>
      </c>
      <c r="C52" s="3" t="s">
        <v>157</v>
      </c>
      <c r="D52" s="3" t="str">
        <f ca="1">IFERROR(__xludf.DUMMYFUNCTION("GOOGLETRANSLATE(A52,""fr"",""en"")"),"play")</f>
        <v>play</v>
      </c>
      <c r="E52" s="3" t="str">
        <f ca="1">IFERROR(__xludf.DUMMYFUNCTION("GOOGLETRANSLATE(B52,""fr"",""en"")"),"We play football every Saturday.")</f>
        <v>We play football every Saturday.</v>
      </c>
    </row>
    <row r="53" spans="1:5" x14ac:dyDescent="0.25">
      <c r="A53" s="2" t="s">
        <v>158</v>
      </c>
      <c r="B53" s="2" t="s">
        <v>159</v>
      </c>
      <c r="C53" s="3" t="s">
        <v>160</v>
      </c>
      <c r="D53" s="3" t="str">
        <f ca="1">IFERROR(__xludf.DUMMYFUNCTION("GOOGLETRANSLATE(A53,""fr"",""en"")"),"facilitate")</f>
        <v>facilitate</v>
      </c>
      <c r="E53" s="3" t="str">
        <f ca="1">IFERROR(__xludf.DUMMYFUNCTION("GOOGLETRANSLATE(B53,""fr"",""en"")"),"It facilitates communication between teams.")</f>
        <v>It facilitates communication between teams.</v>
      </c>
    </row>
    <row r="54" spans="1:5" x14ac:dyDescent="0.25">
      <c r="A54" s="2" t="s">
        <v>161</v>
      </c>
      <c r="B54" s="2" t="s">
        <v>162</v>
      </c>
      <c r="C54" s="3" t="s">
        <v>163</v>
      </c>
      <c r="D54" s="3" t="str">
        <f ca="1">IFERROR(__xludf.DUMMYFUNCTION("GOOGLETRANSLATE(A54,""fr"",""en"")"),"to leave ")</f>
        <v xml:space="preserve">to leave </v>
      </c>
      <c r="E54" s="3" t="str">
        <f ca="1">IFERROR(__xludf.DUMMYFUNCTION("GOOGLETRANSLATE(B54,""fr"",""en"")"),"She lets her children play outside.")</f>
        <v>She lets her children play outside.</v>
      </c>
    </row>
    <row r="55" spans="1:5" x14ac:dyDescent="0.25">
      <c r="A55" s="2" t="s">
        <v>164</v>
      </c>
      <c r="B55" s="2" t="s">
        <v>165</v>
      </c>
      <c r="C55" s="3" t="s">
        <v>166</v>
      </c>
      <c r="D55" s="3" t="str">
        <f ca="1">IFERROR(__xludf.DUMMYFUNCTION("GOOGLETRANSLATE(A55,""fr"",""en"")"),"become")</f>
        <v>become</v>
      </c>
      <c r="E55" s="3" t="str">
        <f ca="1">IFERROR(__xludf.DUMMYFUNCTION("GOOGLETRANSLATE(B55,""fr"",""en"")"),"He is becoming more and more competent.")</f>
        <v>He is becoming more and more competent.</v>
      </c>
    </row>
    <row r="56" spans="1:5" x14ac:dyDescent="0.25">
      <c r="A56" s="2" t="s">
        <v>167</v>
      </c>
      <c r="B56" s="2" t="s">
        <v>168</v>
      </c>
      <c r="C56" s="3" t="s">
        <v>169</v>
      </c>
      <c r="D56" s="3" t="str">
        <f ca="1">IFERROR(__xludf.DUMMYFUNCTION("GOOGLETRANSLATE(A56,""fr"",""en"")"),"sustain")</f>
        <v>sustain</v>
      </c>
      <c r="E56" s="3" t="str">
        <f ca="1">IFERROR(__xludf.DUMMYFUNCTION("GOOGLETRANSLATE(B56,""fr"",""en"")"),"We support local initiatives.")</f>
        <v>We support local initiatives.</v>
      </c>
    </row>
    <row r="57" spans="1:5" x14ac:dyDescent="0.25">
      <c r="A57" s="2" t="s">
        <v>170</v>
      </c>
      <c r="B57" s="2" t="s">
        <v>171</v>
      </c>
      <c r="C57" s="3" t="s">
        <v>172</v>
      </c>
      <c r="D57" s="3" t="str">
        <f ca="1">IFERROR(__xludf.DUMMYFUNCTION("GOOGLETRANSLATE(A57,""fr"",""en"")"),"pursue")</f>
        <v>pursue</v>
      </c>
      <c r="E57" s="3" t="str">
        <f ca="1">IFERROR(__xludf.DUMMYFUNCTION("GOOGLETRANSLATE(B57,""fr"",""en"")"),"She continued her medical studies.")</f>
        <v>She continued her medical studies.</v>
      </c>
    </row>
    <row r="58" spans="1:5" x14ac:dyDescent="0.25">
      <c r="A58" s="2" t="s">
        <v>173</v>
      </c>
      <c r="B58" s="2" t="s">
        <v>174</v>
      </c>
      <c r="C58" s="3" t="s">
        <v>175</v>
      </c>
      <c r="D58" s="3" t="str">
        <f ca="1">IFERROR(__xludf.DUMMYFUNCTION("GOOGLETRANSLATE(A58,""fr"",""en"")"),"follow")</f>
        <v>follow</v>
      </c>
      <c r="E58" s="3" t="str">
        <f ca="1">IFERROR(__xludf.DUMMYFUNCTION("GOOGLETRANSLATE(B58,""fr"",""en"")"),"He follows a strict diet.")</f>
        <v>He follows a strict diet.</v>
      </c>
    </row>
    <row r="59" spans="1:5" x14ac:dyDescent="0.25">
      <c r="A59" s="2" t="s">
        <v>176</v>
      </c>
      <c r="B59" s="2" t="s">
        <v>177</v>
      </c>
      <c r="C59" s="3" t="s">
        <v>178</v>
      </c>
      <c r="D59" s="3" t="str">
        <f ca="1">IFERROR(__xludf.DUMMYFUNCTION("GOOGLETRANSLATE(A59,""fr"",""en"")"),"develop")</f>
        <v>develop</v>
      </c>
      <c r="E59" s="3" t="str">
        <f ca="1">IFERROR(__xludf.DUMMYFUNCTION("GOOGLETRANSLATE(B59,""fr"",""en"")"),"We are developing new technologies.")</f>
        <v>We are developing new technologies.</v>
      </c>
    </row>
    <row r="60" spans="1:5" x14ac:dyDescent="0.25">
      <c r="A60" s="2" t="s">
        <v>179</v>
      </c>
      <c r="B60" s="2" t="s">
        <v>180</v>
      </c>
      <c r="C60" s="3" t="s">
        <v>181</v>
      </c>
      <c r="D60" s="3" t="str">
        <f ca="1">IFERROR(__xludf.DUMMYFUNCTION("GOOGLETRANSLATE(A60,""fr"",""en"")"),"avoid")</f>
        <v>avoid</v>
      </c>
      <c r="E60" s="3" t="str">
        <f ca="1">IFERROR(__xludf.DUMMYFUNCTION("GOOGLETRANSLATE(B60,""fr"",""en"")"),"She avoids conflicts as much as possible.")</f>
        <v>She avoids conflicts as much as possible.</v>
      </c>
    </row>
    <row r="61" spans="1:5" x14ac:dyDescent="0.25">
      <c r="A61" s="2" t="s">
        <v>182</v>
      </c>
      <c r="B61" s="2" t="s">
        <v>183</v>
      </c>
      <c r="C61" s="3" t="s">
        <v>184</v>
      </c>
      <c r="D61" s="3" t="str">
        <f ca="1">IFERROR(__xludf.DUMMYFUNCTION("GOOGLETRANSLATE(A61,""fr"",""en"")"),"add")</f>
        <v>add</v>
      </c>
      <c r="E61" s="3" t="str">
        <f ca="1">IFERROR(__xludf.DUMMYFUNCTION("GOOGLETRANSLATE(B61,""fr"",""en"")"),"He adds salt to his dish.")</f>
        <v>He adds salt to his dish.</v>
      </c>
    </row>
    <row r="62" spans="1:5" x14ac:dyDescent="0.25">
      <c r="A62" s="2" t="s">
        <v>185</v>
      </c>
      <c r="B62" s="2" t="s">
        <v>186</v>
      </c>
      <c r="C62" s="3" t="s">
        <v>187</v>
      </c>
      <c r="D62" s="3" t="str">
        <f ca="1">IFERROR(__xludf.DUMMYFUNCTION("GOOGLETRANSLATE(A62,""fr"",""en"")"),"to prevent")</f>
        <v>to prevent</v>
      </c>
      <c r="E62" s="3" t="str">
        <f ca="1">IFERROR(__xludf.DUMMYFUNCTION("GOOGLETRANSLATE(B62,""fr"",""en"")"),"We prevent mistakes by checking everything.")</f>
        <v>We prevent mistakes by checking everything.</v>
      </c>
    </row>
    <row r="63" spans="1:5" x14ac:dyDescent="0.25">
      <c r="A63" s="2" t="s">
        <v>188</v>
      </c>
      <c r="B63" s="2" t="s">
        <v>189</v>
      </c>
      <c r="C63" s="3" t="s">
        <v>190</v>
      </c>
      <c r="D63" s="3" t="str">
        <f ca="1">IFERROR(__xludf.DUMMYFUNCTION("GOOGLETRANSLATE(A63,""fr"",""en"")"),"increase")</f>
        <v>increase</v>
      </c>
      <c r="E63" s="3" t="str">
        <f ca="1">IFERROR(__xludf.DUMMYFUNCTION("GOOGLETRANSLATE(B63,""fr"",""en"")"),"She increases her knowledge every day.")</f>
        <v>She increases her knowledge every day.</v>
      </c>
    </row>
    <row r="64" spans="1:5" x14ac:dyDescent="0.25">
      <c r="A64" s="2" t="s">
        <v>191</v>
      </c>
      <c r="B64" s="2" t="s">
        <v>192</v>
      </c>
      <c r="C64" s="3" t="s">
        <v>193</v>
      </c>
      <c r="D64" s="3" t="str">
        <f ca="1">IFERROR(__xludf.DUMMYFUNCTION("GOOGLETRANSLATE(A64,""fr"",""en"")"),"live")</f>
        <v>live</v>
      </c>
      <c r="E64" s="3" t="str">
        <f ca="1">IFERROR(__xludf.DUMMYFUNCTION("GOOGLETRANSLATE(B64,""fr"",""en"")"),"He lives in a quiet little town.")</f>
        <v>He lives in a quiet little town.</v>
      </c>
    </row>
    <row r="65" spans="1:5" x14ac:dyDescent="0.25">
      <c r="A65" s="2" t="s">
        <v>194</v>
      </c>
      <c r="B65" s="2" t="s">
        <v>195</v>
      </c>
      <c r="C65" s="3" t="s">
        <v>196</v>
      </c>
      <c r="D65" s="3" t="str">
        <f ca="1">IFERROR(__xludf.DUMMYFUNCTION("GOOGLETRANSLATE(A65,""fr"",""en"")"),"stay")</f>
        <v>stay</v>
      </c>
      <c r="E65" s="3" t="str">
        <f ca="1">IFERROR(__xludf.DUMMYFUNCTION("GOOGLETRANSLATE(B65,""fr"",""en"")"),"We're staying home tonight.")</f>
        <v>We're staying home tonight.</v>
      </c>
    </row>
    <row r="66" spans="1:5" x14ac:dyDescent="0.25">
      <c r="A66" s="2" t="s">
        <v>197</v>
      </c>
      <c r="B66" s="2" t="s">
        <v>198</v>
      </c>
      <c r="C66" s="3" t="s">
        <v>199</v>
      </c>
      <c r="D66" s="3" t="str">
        <f ca="1">IFERROR(__xludf.DUMMYFUNCTION("GOOGLETRANSLATE(A66,""fr"",""en"")"),"adopt")</f>
        <v>adopt</v>
      </c>
      <c r="E66" s="3" t="str">
        <f ca="1">IFERROR(__xludf.DUMMYFUNCTION("GOOGLETRANSLATE(B66,""fr"",""en"")"),"She adopts a positive attitude.")</f>
        <v>She adopts a positive attitude.</v>
      </c>
    </row>
    <row r="67" spans="1:5" x14ac:dyDescent="0.25">
      <c r="A67" s="2" t="s">
        <v>200</v>
      </c>
      <c r="B67" s="2" t="s">
        <v>201</v>
      </c>
      <c r="C67" s="3" t="s">
        <v>202</v>
      </c>
      <c r="D67" s="3" t="str">
        <f ca="1">IFERROR(__xludf.DUMMYFUNCTION("GOOGLETRANSLATE(A67,""fr"",""en"")"),"elaborate")</f>
        <v>elaborate</v>
      </c>
      <c r="E67" s="3" t="str">
        <f ca="1">IFERROR(__xludf.DUMMYFUNCTION("GOOGLETRANSLATE(B67,""fr"",""en"")"),"They come up with a new plan.")</f>
        <v>They come up with a new plan.</v>
      </c>
    </row>
    <row r="68" spans="1:5" x14ac:dyDescent="0.25">
      <c r="A68" s="2" t="s">
        <v>203</v>
      </c>
      <c r="B68" s="2" t="s">
        <v>204</v>
      </c>
      <c r="C68" s="3" t="s">
        <v>205</v>
      </c>
      <c r="D68" s="3" t="str">
        <f ca="1">IFERROR(__xludf.DUMMYFUNCTION("GOOGLETRANSLATE(A68,""fr"",""en"")"),"kill")</f>
        <v>kill</v>
      </c>
      <c r="E68" s="3" t="str">
        <f ca="1">IFERROR(__xludf.DUMMYFUNCTION("GOOGLETRANSLATE(B68,""fr"",""en"")"),"He kills time reading a book.")</f>
        <v>He kills time reading a book.</v>
      </c>
    </row>
    <row r="69" spans="1:5" x14ac:dyDescent="0.25">
      <c r="A69" s="2" t="s">
        <v>206</v>
      </c>
      <c r="B69" s="2" t="s">
        <v>207</v>
      </c>
      <c r="C69" s="3" t="s">
        <v>208</v>
      </c>
      <c r="D69" s="3" t="str">
        <f ca="1">IFERROR(__xludf.DUMMYFUNCTION("GOOGLETRANSLATE(A69,""fr"",""en"")"),"encourage")</f>
        <v>encourage</v>
      </c>
      <c r="E69" s="3" t="str">
        <f ca="1">IFERROR(__xludf.DUMMYFUNCTION("GOOGLETRANSLATE(B69,""fr"",""en"")"),"We encourage students to participate.")</f>
        <v>We encourage students to participate.</v>
      </c>
    </row>
    <row r="70" spans="1:5" x14ac:dyDescent="0.25">
      <c r="A70" s="2" t="s">
        <v>209</v>
      </c>
      <c r="B70" s="2" t="s">
        <v>210</v>
      </c>
      <c r="C70" s="3" t="s">
        <v>211</v>
      </c>
      <c r="D70" s="3" t="str">
        <f ca="1">IFERROR(__xludf.DUMMYFUNCTION("GOOGLETRANSLATE(A70,""fr"",""en"")"),"define")</f>
        <v>define</v>
      </c>
      <c r="E70" s="3" t="str">
        <f ca="1">IFERROR(__xludf.DUMMYFUNCTION("GOOGLETRANSLATE(B70,""fr"",""en"")"),"She clearly defines her objectives.")</f>
        <v>She clearly defines her objectives.</v>
      </c>
    </row>
    <row r="71" spans="1:5" x14ac:dyDescent="0.25">
      <c r="A71" s="2" t="s">
        <v>212</v>
      </c>
      <c r="B71" s="2" t="s">
        <v>213</v>
      </c>
      <c r="C71" s="3" t="s">
        <v>214</v>
      </c>
      <c r="D71" s="3" t="str">
        <f ca="1">IFERROR(__xludf.DUMMYFUNCTION("GOOGLETRANSLATE(A71,""fr"",""en"")"),"answer")</f>
        <v>answer</v>
      </c>
      <c r="E71" s="3" t="str">
        <f ca="1">IFERROR(__xludf.DUMMYFUNCTION("GOOGLETRANSLATE(B71,""fr"",""en"")"),"He responds to emails quickly.")</f>
        <v>He responds to emails quickly.</v>
      </c>
    </row>
    <row r="72" spans="1:5" x14ac:dyDescent="0.25">
      <c r="A72" s="2" t="s">
        <v>215</v>
      </c>
      <c r="B72" s="2" t="s">
        <v>216</v>
      </c>
      <c r="C72" s="3" t="s">
        <v>217</v>
      </c>
      <c r="D72" s="3" t="str">
        <f ca="1">IFERROR(__xludf.DUMMYFUNCTION("GOOGLETRANSLATE(A72,""fr"",""en"")"),"prevent")</f>
        <v>prevent</v>
      </c>
      <c r="E72" s="3" t="str">
        <f ca="1">IFERROR(__xludf.DUMMYFUNCTION("GOOGLETRANSLATE(B72,""fr"",""en"")"),"We prevent accidents through caution.")</f>
        <v>We prevent accidents through caution.</v>
      </c>
    </row>
    <row r="73" spans="1:5" x14ac:dyDescent="0.25">
      <c r="A73" s="2" t="s">
        <v>218</v>
      </c>
      <c r="B73" s="2" t="s">
        <v>219</v>
      </c>
      <c r="C73" s="3" t="s">
        <v>220</v>
      </c>
      <c r="D73" s="3" t="str">
        <f ca="1">IFERROR(__xludf.DUMMYFUNCTION("GOOGLETRANSLATE(A73,""fr"",""en"")"),"identify")</f>
        <v>identify</v>
      </c>
      <c r="E73" s="3" t="str">
        <f ca="1">IFERROR(__xludf.DUMMYFUNCTION("GOOGLETRANSLATE(B73,""fr"",""en"")"),"They identify problems and solve them.")</f>
        <v>They identify problems and solve them.</v>
      </c>
    </row>
    <row r="74" spans="1:5" x14ac:dyDescent="0.25">
      <c r="A74" s="2" t="s">
        <v>221</v>
      </c>
      <c r="B74" s="2" t="s">
        <v>222</v>
      </c>
      <c r="C74" s="3" t="s">
        <v>223</v>
      </c>
      <c r="D74" s="3" t="str">
        <f ca="1">IFERROR(__xludf.DUMMYFUNCTION("GOOGLETRANSLATE(A74,""fr"",""en"")"),"manage")</f>
        <v>manage</v>
      </c>
      <c r="E74" s="3" t="str">
        <f ca="1">IFERROR(__xludf.DUMMYFUNCTION("GOOGLETRANSLATE(B74,""fr"",""en"")"),"She runs her business successfully.")</f>
        <v>She runs her business successfully.</v>
      </c>
    </row>
    <row r="75" spans="1:5" x14ac:dyDescent="0.25">
      <c r="A75" s="2" t="s">
        <v>224</v>
      </c>
      <c r="B75" s="2" t="s">
        <v>225</v>
      </c>
      <c r="C75" s="3" t="s">
        <v>226</v>
      </c>
      <c r="D75" s="3" t="str">
        <f ca="1">IFERROR(__xludf.DUMMYFUNCTION("GOOGLETRANSLATE(A75,""fr"",""en"")"),"buy")</f>
        <v>buy</v>
      </c>
      <c r="E75" s="3" t="str">
        <f ca="1">IFERROR(__xludf.DUMMYFUNCTION("GOOGLETRANSLATE(B75,""fr"",""en"")"),"We buy local products.")</f>
        <v>We buy local products.</v>
      </c>
    </row>
    <row r="76" spans="1:5" x14ac:dyDescent="0.25">
      <c r="A76" s="2" t="s">
        <v>227</v>
      </c>
      <c r="B76" s="2" t="s">
        <v>228</v>
      </c>
      <c r="C76" s="3" t="s">
        <v>229</v>
      </c>
      <c r="D76" s="3" t="str">
        <f ca="1">IFERROR(__xludf.DUMMYFUNCTION("GOOGLETRANSLATE(A76,""fr"",""en"")"),"adjust")</f>
        <v>adjust</v>
      </c>
      <c r="E76" s="3" t="str">
        <f ca="1">IFERROR(__xludf.DUMMYFUNCTION("GOOGLETRANSLATE(B76,""fr"",""en"")"),"He resolves conflicts diplomatically.")</f>
        <v>He resolves conflicts diplomatically.</v>
      </c>
    </row>
    <row r="77" spans="1:5" x14ac:dyDescent="0.25">
      <c r="A77" s="2" t="s">
        <v>230</v>
      </c>
      <c r="B77" s="2" t="s">
        <v>231</v>
      </c>
      <c r="C77" s="3" t="s">
        <v>232</v>
      </c>
      <c r="D77" s="3" t="str">
        <f ca="1">IFERROR(__xludf.DUMMYFUNCTION("GOOGLETRANSLATE(A77,""fr"",""en"")"),"send")</f>
        <v>send</v>
      </c>
      <c r="E77" s="3" t="str">
        <f ca="1">IFERROR(__xludf.DUMMYFUNCTION("GOOGLETRANSLATE(B77,""fr"",""en"")"),"She sends postcards to her friends.")</f>
        <v>She sends postcards to her friends.</v>
      </c>
    </row>
    <row r="78" spans="1:5" x14ac:dyDescent="0.25">
      <c r="A78" s="2" t="s">
        <v>233</v>
      </c>
      <c r="B78" s="2" t="s">
        <v>234</v>
      </c>
      <c r="C78" s="3" t="s">
        <v>235</v>
      </c>
      <c r="D78" s="3" t="str">
        <f ca="1">IFERROR(__xludf.DUMMYFUNCTION("GOOGLETRANSLATE(A78,""fr"",""en"")"),"read")</f>
        <v>read</v>
      </c>
      <c r="E78" s="3" t="str">
        <f ca="1">IFERROR(__xludf.DUMMYFUNCTION("GOOGLETRANSLATE(B78,""fr"",""en"")"),"They read books every night.")</f>
        <v>They read books every night.</v>
      </c>
    </row>
    <row r="79" spans="1:5" x14ac:dyDescent="0.25">
      <c r="A79" s="2" t="s">
        <v>236</v>
      </c>
      <c r="B79" s="2" t="s">
        <v>237</v>
      </c>
      <c r="C79" s="3" t="s">
        <v>238</v>
      </c>
      <c r="D79" s="3" t="str">
        <f ca="1">IFERROR(__xludf.DUMMYFUNCTION("GOOGLETRANSLATE(A79,""fr"",""en"")"),"respect")</f>
        <v>respect</v>
      </c>
      <c r="E79" s="3" t="str">
        <f ca="1">IFERROR(__xludf.DUMMYFUNCTION("GOOGLETRANSLATE(B79,""fr"",""en"")"),"We respect family traditions.")</f>
        <v>We respect family traditions.</v>
      </c>
    </row>
    <row r="80" spans="1:5" x14ac:dyDescent="0.25">
      <c r="A80" s="2" t="s">
        <v>239</v>
      </c>
      <c r="B80" s="2" t="s">
        <v>240</v>
      </c>
      <c r="C80" s="3" t="s">
        <v>241</v>
      </c>
      <c r="D80" s="3" t="str">
        <f ca="1">IFERROR(__xludf.DUMMYFUNCTION("GOOGLETRANSLATE(A80,""fr"",""en"")"),"act")</f>
        <v>act</v>
      </c>
      <c r="E80" s="3" t="str">
        <f ca="1">IFERROR(__xludf.DUMMYFUNCTION("GOOGLETRANSLATE(B80,""fr"",""en"")"),"She always acts thoughtfully.")</f>
        <v>She always acts thoughtfully.</v>
      </c>
    </row>
    <row r="81" spans="1:5" x14ac:dyDescent="0.25">
      <c r="A81" s="2" t="s">
        <v>242</v>
      </c>
      <c r="B81" s="2" t="s">
        <v>243</v>
      </c>
      <c r="C81" s="3" t="s">
        <v>244</v>
      </c>
      <c r="D81" s="3" t="str">
        <f ca="1">IFERROR(__xludf.DUMMYFUNCTION("GOOGLETRANSLATE(A81,""fr"",""en"")"),"choose")</f>
        <v>choose</v>
      </c>
      <c r="E81" s="3" t="str">
        <f ca="1">IFERROR(__xludf.DUMMYFUNCTION("GOOGLETRANSLATE(B81,""fr"",""en"")"),"They choose comfortable clothes.")</f>
        <v>They choose comfortable clothes.</v>
      </c>
    </row>
    <row r="82" spans="1:5" x14ac:dyDescent="0.25">
      <c r="A82" s="2" t="s">
        <v>245</v>
      </c>
      <c r="B82" s="2" t="s">
        <v>246</v>
      </c>
      <c r="C82" s="3" t="s">
        <v>247</v>
      </c>
      <c r="D82" s="3" t="str">
        <f ca="1">IFERROR(__xludf.DUMMYFUNCTION("GOOGLETRANSLATE(A82,""fr"",""en"")"),"to change")</f>
        <v>to change</v>
      </c>
      <c r="E82" s="3" t="str">
        <f ca="1">IFERROR(__xludf.DUMMYFUNCTION("GOOGLETRANSLATE(B82,""fr"",""en"")"),"He often changes his hairstyle.")</f>
        <v>He often changes his hairstyle.</v>
      </c>
    </row>
    <row r="83" spans="1:5" x14ac:dyDescent="0.25">
      <c r="A83" s="2" t="s">
        <v>248</v>
      </c>
      <c r="B83" s="2" t="s">
        <v>249</v>
      </c>
      <c r="C83" s="3" t="s">
        <v>250</v>
      </c>
      <c r="D83" s="3" t="str">
        <f ca="1">IFERROR(__xludf.DUMMYFUNCTION("GOOGLETRANSLATE(A83,""fr"",""en"")"),"seek")</f>
        <v>seek</v>
      </c>
      <c r="E83" s="3" t="str">
        <f ca="1">IFERROR(__xludf.DUMMYFUNCTION("GOOGLETRANSLATE(B83,""fr"",""en"")"),"We are looking for innovative solutions.")</f>
        <v>We are looking for innovative solutions.</v>
      </c>
    </row>
    <row r="84" spans="1:5" x14ac:dyDescent="0.25">
      <c r="A84" s="2" t="s">
        <v>251</v>
      </c>
      <c r="B84" s="2" t="s">
        <v>252</v>
      </c>
      <c r="C84" s="3" t="s">
        <v>253</v>
      </c>
      <c r="D84" s="3" t="str">
        <f ca="1">IFERROR(__xludf.DUMMYFUNCTION("GOOGLETRANSLATE(A84,""fr"",""en"")"),"press")</f>
        <v>press</v>
      </c>
      <c r="E84" s="3" t="str">
        <f ca="1">IFERROR(__xludf.DUMMYFUNCTION("GOOGLETRANSLATE(B84,""fr"",""en"")"),"She supports her argument with facts.")</f>
        <v>She supports her argument with facts.</v>
      </c>
    </row>
    <row r="85" spans="1:5" x14ac:dyDescent="0.25">
      <c r="A85" s="2" t="s">
        <v>254</v>
      </c>
      <c r="B85" s="2" t="s">
        <v>255</v>
      </c>
      <c r="C85" s="3" t="s">
        <v>256</v>
      </c>
      <c r="D85" s="3" t="str">
        <f ca="1">IFERROR(__xludf.DUMMYFUNCTION("GOOGLETRANSLATE(A85,""fr"",""en"")"),"prepare")</f>
        <v>prepare</v>
      </c>
      <c r="E85" s="3" t="str">
        <f ca="1">IFERROR(__xludf.DUMMYFUNCTION("GOOGLETRANSLATE(B85,""fr"",""en"")"),"He prepares a delicious meal.")</f>
        <v>He prepares a delicious meal.</v>
      </c>
    </row>
    <row r="86" spans="1:5" x14ac:dyDescent="0.25">
      <c r="A86" s="2" t="s">
        <v>257</v>
      </c>
      <c r="B86" s="2" t="s">
        <v>258</v>
      </c>
      <c r="C86" s="3" t="s">
        <v>259</v>
      </c>
      <c r="D86" s="3" t="str">
        <f ca="1">IFERROR(__xludf.DUMMYFUNCTION("GOOGLETRANSLATE(A86,""fr"",""en"")"),"to carry")</f>
        <v>to carry</v>
      </c>
      <c r="E86" s="3" t="str">
        <f ca="1">IFERROR(__xludf.DUMMYFUNCTION("GOOGLETRANSLATE(B86,""fr"",""en"")"),"We wear comfortable clothes.")</f>
        <v>We wear comfortable clothes.</v>
      </c>
    </row>
    <row r="87" spans="1:5" x14ac:dyDescent="0.25">
      <c r="A87" s="2" t="s">
        <v>260</v>
      </c>
      <c r="B87" s="2" t="s">
        <v>261</v>
      </c>
      <c r="C87" s="3" t="s">
        <v>262</v>
      </c>
      <c r="D87" s="3" t="str">
        <f ca="1">IFERROR(__xludf.DUMMYFUNCTION("GOOGLETRANSLATE(A87,""fr"",""en"")"),"participate")</f>
        <v>participate</v>
      </c>
      <c r="E87" s="3" t="str">
        <f ca="1">IFERROR(__xludf.DUMMYFUNCTION("GOOGLETRANSLATE(B87,""fr"",""en"")"),"They actively participate in the debates.")</f>
        <v>They actively participate in the debates.</v>
      </c>
    </row>
    <row r="88" spans="1:5" x14ac:dyDescent="0.25">
      <c r="A88" s="2" t="s">
        <v>263</v>
      </c>
      <c r="B88" s="2" t="s">
        <v>264</v>
      </c>
      <c r="C88" s="3" t="s">
        <v>265</v>
      </c>
      <c r="D88" s="3" t="str">
        <f ca="1">IFERROR(__xludf.DUMMYFUNCTION("GOOGLETRANSLATE(A88,""fr"",""en"")"),"hear")</f>
        <v>hear</v>
      </c>
      <c r="E88" s="3" t="str">
        <f ca="1">IFERROR(__xludf.DUMMYFUNCTION("GOOGLETRANSLATE(B88,""fr"",""en"")"),"She hears birds singing.")</f>
        <v>She hears birds singing.</v>
      </c>
    </row>
    <row r="89" spans="1:5" x14ac:dyDescent="0.25">
      <c r="A89" s="2" t="s">
        <v>266</v>
      </c>
      <c r="B89" s="2" t="s">
        <v>267</v>
      </c>
      <c r="C89" s="3" t="s">
        <v>268</v>
      </c>
      <c r="D89" s="3" t="str">
        <f ca="1">IFERROR(__xludf.DUMMYFUNCTION("GOOGLETRANSLATE(A89,""fr"",""en"")"),"communicate")</f>
        <v>communicate</v>
      </c>
      <c r="E89" s="3" t="str">
        <f ca="1">IFERROR(__xludf.DUMMYFUNCTION("GOOGLETRANSLATE(B89,""fr"",""en"")"),"We communicate regularly with our customers.")</f>
        <v>We communicate regularly with our customers.</v>
      </c>
    </row>
    <row r="90" spans="1:5" x14ac:dyDescent="0.25">
      <c r="A90" s="2" t="s">
        <v>269</v>
      </c>
      <c r="B90" s="2" t="s">
        <v>270</v>
      </c>
      <c r="C90" s="3" t="s">
        <v>271</v>
      </c>
      <c r="D90" s="3" t="str">
        <f ca="1">IFERROR(__xludf.DUMMYFUNCTION("GOOGLETRANSLATE(A90,""fr"",""en"")"),"to favor")</f>
        <v>to favor</v>
      </c>
      <c r="E90" s="3" t="str">
        <f ca="1">IFERROR(__xludf.DUMMYFUNCTION("GOOGLETRANSLATE(B90,""fr"",""en"")"),"It promotes a positive work environment.")</f>
        <v>It promotes a positive work environment.</v>
      </c>
    </row>
    <row r="91" spans="1:5" x14ac:dyDescent="0.25">
      <c r="A91" s="2" t="s">
        <v>272</v>
      </c>
      <c r="B91" s="2" t="s">
        <v>273</v>
      </c>
      <c r="C91" s="3" t="s">
        <v>274</v>
      </c>
      <c r="D91" s="3" t="str">
        <f ca="1">IFERROR(__xludf.DUMMYFUNCTION("GOOGLETRANSLATE(A91,""fr"",""en"")"),"check")</f>
        <v>check</v>
      </c>
      <c r="E91" s="3" t="str">
        <f ca="1">IFERROR(__xludf.DUMMYFUNCTION("GOOGLETRANSLATE(B91,""fr"",""en"")"),"She always double-checks her calculations.")</f>
        <v>She always double-checks her calculations.</v>
      </c>
    </row>
    <row r="92" spans="1:5" x14ac:dyDescent="0.25">
      <c r="A92" s="2" t="s">
        <v>275</v>
      </c>
      <c r="B92" s="2" t="s">
        <v>276</v>
      </c>
      <c r="C92" s="3" t="s">
        <v>277</v>
      </c>
      <c r="D92" s="3" t="str">
        <f ca="1">IFERROR(__xludf.DUMMYFUNCTION("GOOGLETRANSLATE(A92,""fr"",""en"")"),"keep")</f>
        <v>keep</v>
      </c>
      <c r="E92" s="3" t="str">
        <f ca="1">IFERROR(__xludf.DUMMYFUNCTION("GOOGLETRANSLATE(B92,""fr"",""en"")"),"We keep in touch with our friends.")</f>
        <v>We keep in touch with our friends.</v>
      </c>
    </row>
    <row r="93" spans="1:5" x14ac:dyDescent="0.25">
      <c r="A93" s="2" t="s">
        <v>278</v>
      </c>
      <c r="B93" s="2" t="s">
        <v>279</v>
      </c>
      <c r="C93" s="3" t="s">
        <v>280</v>
      </c>
      <c r="D93" s="3" t="str">
        <f ca="1">IFERROR(__xludf.DUMMYFUNCTION("GOOGLETRANSLATE(A93,""fr"",""en"")"),"Stop")</f>
        <v>Stop</v>
      </c>
      <c r="E93" s="3" t="str">
        <f ca="1">IFERROR(__xludf.DUMMYFUNCTION("GOOGLETRANSLATE(B93,""fr"",""en"")"),"He quits smoking for his health.")</f>
        <v>He quits smoking for his health.</v>
      </c>
    </row>
    <row r="94" spans="1:5" x14ac:dyDescent="0.25">
      <c r="A94" s="2" t="s">
        <v>281</v>
      </c>
      <c r="B94" s="2" t="s">
        <v>282</v>
      </c>
      <c r="C94" s="3" t="s">
        <v>283</v>
      </c>
      <c r="D94" s="3" t="str">
        <f ca="1">IFERROR(__xludf.DUMMYFUNCTION("GOOGLETRANSLATE(A94,""fr"",""en"")"),"to go out")</f>
        <v>to go out</v>
      </c>
      <c r="E94" s="3" t="str">
        <f ca="1">IFERROR(__xludf.DUMMYFUNCTION("GOOGLETRANSLATE(B94,""fr"",""en"")"),"She often goes out with her friends.")</f>
        <v>She often goes out with her friends.</v>
      </c>
    </row>
    <row r="95" spans="1:5" x14ac:dyDescent="0.25">
      <c r="A95" s="2" t="s">
        <v>284</v>
      </c>
      <c r="B95" s="2" t="s">
        <v>285</v>
      </c>
      <c r="C95" s="3" t="s">
        <v>286</v>
      </c>
      <c r="D95" s="3" t="str">
        <f ca="1">IFERROR(__xludf.DUMMYFUNCTION("GOOGLETRANSLATE(A95,""fr"",""en"")"),"indicate")</f>
        <v>indicate</v>
      </c>
      <c r="E95" s="3" t="str">
        <f ca="1">IFERROR(__xludf.DUMMYFUNCTION("GOOGLETRANSLATE(B95,""fr"",""en"")"),"We clearly indicate the instructions.")</f>
        <v>We clearly indicate the instructions.</v>
      </c>
    </row>
    <row r="96" spans="1:5" x14ac:dyDescent="0.25">
      <c r="A96" s="2" t="s">
        <v>287</v>
      </c>
      <c r="B96" s="2" t="s">
        <v>288</v>
      </c>
      <c r="C96" s="3" t="s">
        <v>289</v>
      </c>
      <c r="D96" s="3" t="str">
        <f ca="1">IFERROR(__xludf.DUMMYFUNCTION("GOOGLETRANSLATE(A96,""fr"",""en"")"),"learn")</f>
        <v>learn</v>
      </c>
      <c r="E96" s="3" t="str">
        <f ca="1">IFERROR(__xludf.DUMMYFUNCTION("GOOGLETRANSLATE(B96,""fr"",""en"")"),"He learned French quickly.")</f>
        <v>He learned French quickly.</v>
      </c>
    </row>
    <row r="97" spans="1:5" x14ac:dyDescent="0.25">
      <c r="A97" s="2" t="s">
        <v>290</v>
      </c>
      <c r="B97" s="2" t="s">
        <v>291</v>
      </c>
      <c r="C97" s="3" t="s">
        <v>292</v>
      </c>
      <c r="D97" s="3" t="str">
        <f ca="1">IFERROR(__xludf.DUMMYFUNCTION("GOOGLETRANSLATE(A97,""fr"",""en"")"),"open")</f>
        <v>open</v>
      </c>
      <c r="E97" s="3" t="str">
        <f ca="1">IFERROR(__xludf.DUMMYFUNCTION("GOOGLETRANSLATE(B97,""fr"",""en"")"),"She opens the door quietly.")</f>
        <v>She opens the door quietly.</v>
      </c>
    </row>
    <row r="98" spans="1:5" x14ac:dyDescent="0.25">
      <c r="A98" s="2" t="s">
        <v>293</v>
      </c>
      <c r="B98" s="2" t="s">
        <v>294</v>
      </c>
      <c r="C98" s="3" t="s">
        <v>295</v>
      </c>
      <c r="D98" s="3" t="str">
        <f ca="1">IFERROR(__xludf.DUMMYFUNCTION("GOOGLETRANSLATE(A98,""fr"",""en"")"),"to wait for")</f>
        <v>to wait for</v>
      </c>
      <c r="E98" s="3" t="str">
        <f ca="1">IFERROR(__xludf.DUMMYFUNCTION("GOOGLETRANSLATE(B98,""fr"",""en"")"),"They are looking forward to the holidays.")</f>
        <v>They are looking forward to the holidays.</v>
      </c>
    </row>
    <row r="99" spans="1:5" x14ac:dyDescent="0.25">
      <c r="A99" s="2" t="s">
        <v>296</v>
      </c>
      <c r="B99" s="2" t="s">
        <v>297</v>
      </c>
      <c r="C99" s="3" t="s">
        <v>298</v>
      </c>
      <c r="D99" s="3" t="str">
        <f ca="1">IFERROR(__xludf.DUMMYFUNCTION("GOOGLETRANSLATE(A99,""fr"",""en"")"),"to start")</f>
        <v>to start</v>
      </c>
      <c r="E99" s="3" t="str">
        <f ca="1">IFERROR(__xludf.DUMMYFUNCTION("GOOGLETRANSLATE(B99,""fr"",""en"")"),"We are starting a new project.")</f>
        <v>We are starting a new project.</v>
      </c>
    </row>
    <row r="100" spans="1:5" x14ac:dyDescent="0.25">
      <c r="A100" s="2" t="s">
        <v>299</v>
      </c>
      <c r="B100" s="2" t="s">
        <v>300</v>
      </c>
      <c r="C100" s="3" t="s">
        <v>301</v>
      </c>
      <c r="D100" s="3" t="str">
        <f ca="1">IFERROR(__xludf.DUMMYFUNCTION("GOOGLETRANSLATE(A100,""fr"",""en"")"),"pay")</f>
        <v>pay</v>
      </c>
      <c r="E100" s="3" t="str">
        <f ca="1">IFERROR(__xludf.DUMMYFUNCTION("GOOGLETRANSLATE(B100,""fr"",""en"")"),"She pays her bills on time.")</f>
        <v>She pays her bills on time.</v>
      </c>
    </row>
    <row r="101" spans="1:5" x14ac:dyDescent="0.25">
      <c r="A101" s="2" t="s">
        <v>302</v>
      </c>
      <c r="B101" s="2" t="s">
        <v>303</v>
      </c>
      <c r="C101" s="3" t="s">
        <v>304</v>
      </c>
      <c r="D101" s="3" t="str">
        <f ca="1">IFERROR(__xludf.DUMMYFUNCTION("GOOGLETRANSLATE(A101,""fr"",""en"")"),"control")</f>
        <v>control</v>
      </c>
      <c r="E101" s="3" t="str">
        <f ca="1">IFERROR(__xludf.DUMMYFUNCTION("GOOGLETRANSLATE(B101,""fr"",""en"")"),"She checks the results of the exams.")</f>
        <v>She checks the results of the exams.</v>
      </c>
    </row>
    <row r="102" spans="1:5" x14ac:dyDescent="0.25">
      <c r="A102" s="2" t="s">
        <v>305</v>
      </c>
      <c r="B102" s="2" t="s">
        <v>306</v>
      </c>
      <c r="C102" s="3" t="s">
        <v>307</v>
      </c>
      <c r="D102" s="3" t="str">
        <f ca="1">IFERROR(__xludf.DUMMYFUNCTION("GOOGLETRANSLATE(A102,""fr"",""en"")"),"recognize")</f>
        <v>recognize</v>
      </c>
      <c r="E102" s="3" t="str">
        <f ca="1">IFERROR(__xludf.DUMMYFUNCTION("GOOGLETRANSLATE(B102,""fr"",""en"")"),"We recognize his exceptional efforts.")</f>
        <v>We recognize his exceptional efforts.</v>
      </c>
    </row>
    <row r="103" spans="1:5" x14ac:dyDescent="0.25">
      <c r="A103" s="2" t="s">
        <v>308</v>
      </c>
      <c r="B103" s="2" t="s">
        <v>309</v>
      </c>
      <c r="C103" s="3" t="s">
        <v>310</v>
      </c>
      <c r="D103" s="3" t="str">
        <f ca="1">IFERROR(__xludf.DUMMYFUNCTION("GOOGLETRANSLATE(A103,""fr"",""en"")"),"enter")</f>
        <v>enter</v>
      </c>
      <c r="E103" s="3" t="str">
        <f ca="1">IFERROR(__xludf.DUMMYFUNCTION("GOOGLETRANSLATE(B103,""fr"",""en"")"),"He enters the meeting room silently.")</f>
        <v>He enters the meeting room silently.</v>
      </c>
    </row>
    <row r="104" spans="1:5" x14ac:dyDescent="0.25">
      <c r="A104" s="2" t="s">
        <v>311</v>
      </c>
      <c r="B104" s="2" t="s">
        <v>312</v>
      </c>
      <c r="C104" s="3" t="s">
        <v>313</v>
      </c>
      <c r="D104" s="3" t="str">
        <f ca="1">IFERROR(__xludf.DUMMYFUNCTION("GOOGLETRANSLATE(A104,""fr"",""en"")"),"to call")</f>
        <v>to call</v>
      </c>
      <c r="E104" s="3" t="str">
        <f ca="1">IFERROR(__xludf.DUMMYFUNCTION("GOOGLETRANSLATE(B104,""fr"",""en"")"),"She calls her friend to tell him some good news.")</f>
        <v>She calls her friend to tell him some good news.</v>
      </c>
    </row>
    <row r="105" spans="1:5" x14ac:dyDescent="0.25">
      <c r="A105" s="2" t="s">
        <v>314</v>
      </c>
      <c r="B105" s="2" t="s">
        <v>315</v>
      </c>
      <c r="C105" s="3" t="s">
        <v>316</v>
      </c>
      <c r="D105" s="3" t="str">
        <f ca="1">IFERROR(__xludf.DUMMYFUNCTION("GOOGLETRANSLATE(A105,""fr"",""en"")"),"eat")</f>
        <v>eat</v>
      </c>
      <c r="E105" s="3" t="str">
        <f ca="1">IFERROR(__xludf.DUMMYFUNCTION("GOOGLETRANSLATE(B105,""fr"",""en"")"),"They eat out every Friday.")</f>
        <v>They eat out every Friday.</v>
      </c>
    </row>
    <row r="106" spans="1:5" x14ac:dyDescent="0.25">
      <c r="A106" s="2" t="s">
        <v>317</v>
      </c>
      <c r="B106" s="2" t="s">
        <v>318</v>
      </c>
      <c r="C106" s="3" t="s">
        <v>319</v>
      </c>
      <c r="D106" s="3" t="str">
        <f ca="1">IFERROR(__xludf.DUMMYFUNCTION("GOOGLETRANSLATE(A106,""fr"",""en"")"),"accept")</f>
        <v>accept</v>
      </c>
      <c r="E106" s="3" t="str">
        <f ca="1">IFERROR(__xludf.DUMMYFUNCTION("GOOGLETRANSLATE(B106,""fr"",""en"")"),"We accept the terms of the contract.")</f>
        <v>We accept the terms of the contract.</v>
      </c>
    </row>
    <row r="107" spans="1:5" x14ac:dyDescent="0.25">
      <c r="A107" s="2" t="s">
        <v>320</v>
      </c>
      <c r="B107" s="2" t="s">
        <v>321</v>
      </c>
      <c r="C107" s="3" t="s">
        <v>322</v>
      </c>
      <c r="D107" s="3" t="str">
        <f ca="1">IFERROR(__xludf.DUMMYFUNCTION("GOOGLETRANSLATE(A107,""fr"",""en"")"),"solve")</f>
        <v>solve</v>
      </c>
      <c r="E107" s="3" t="str">
        <f ca="1">IFERROR(__xludf.DUMMYFUNCTION("GOOGLETRANSLATE(B107,""fr"",""en"")"),"She solves problems quickly.")</f>
        <v>She solves problems quickly.</v>
      </c>
    </row>
    <row r="108" spans="1:5" x14ac:dyDescent="0.25">
      <c r="A108" s="2" t="s">
        <v>323</v>
      </c>
      <c r="B108" s="2" t="s">
        <v>324</v>
      </c>
      <c r="C108" s="3" t="s">
        <v>325</v>
      </c>
      <c r="D108" s="3" t="str">
        <f ca="1">IFERROR(__xludf.DUMMYFUNCTION("GOOGLETRANSLATE(A108,""fr"",""en"")"),"to study")</f>
        <v>to study</v>
      </c>
      <c r="E108" s="3" t="str">
        <f ca="1">IFERROR(__xludf.DUMMYFUNCTION("GOOGLETRANSLATE(B108,""fr"",""en"")"),"They study the effects of climate change.")</f>
        <v>They study the effects of climate change.</v>
      </c>
    </row>
    <row r="109" spans="1:5" x14ac:dyDescent="0.25">
      <c r="A109" s="2" t="s">
        <v>326</v>
      </c>
      <c r="B109" s="2" t="s">
        <v>327</v>
      </c>
      <c r="C109" s="3" t="s">
        <v>328</v>
      </c>
      <c r="D109" s="3" t="str">
        <f ca="1">IFERROR(__xludf.DUMMYFUNCTION("GOOGLETRANSLATE(A109,""fr"",""en"")"),"believe")</f>
        <v>believe</v>
      </c>
      <c r="E109" s="3" t="str">
        <f ca="1">IFERROR(__xludf.DUMMYFUNCTION("GOOGLETRANSLATE(B109,""fr"",""en"")"),"We believe in its potential.")</f>
        <v>We believe in its potential.</v>
      </c>
    </row>
    <row r="110" spans="1:5" x14ac:dyDescent="0.25">
      <c r="A110" s="2" t="s">
        <v>329</v>
      </c>
      <c r="B110" s="2" t="s">
        <v>330</v>
      </c>
      <c r="C110" s="3" t="s">
        <v>331</v>
      </c>
      <c r="D110" s="3" t="str">
        <f ca="1">IFERROR(__xludf.DUMMYFUNCTION("GOOGLETRANSLATE(A110,""fr"",""en"")"),"detect")</f>
        <v>detect</v>
      </c>
      <c r="E110" s="3" t="str">
        <f ca="1">IFERROR(__xludf.DUMMYFUNCTION("GOOGLETRANSLATE(B110,""fr"",""en"")"),"It detects anomalies in the data.")</f>
        <v>It detects anomalies in the data.</v>
      </c>
    </row>
    <row r="111" spans="1:5" x14ac:dyDescent="0.25">
      <c r="A111" s="2" t="s">
        <v>332</v>
      </c>
      <c r="B111" s="2" t="s">
        <v>333</v>
      </c>
      <c r="C111" s="3" t="s">
        <v>334</v>
      </c>
      <c r="D111" s="3" t="str">
        <f ca="1">IFERROR(__xludf.DUMMYFUNCTION("GOOGLETRANSLATE(A111,""fr"",""en"")"),"explain")</f>
        <v>explain</v>
      </c>
      <c r="E111" s="3" t="str">
        <f ca="1">IFERROR(__xludf.DUMMYFUNCTION("GOOGLETRANSLATE(B111,""fr"",""en"")"),"He explains the concept with clear examples.")</f>
        <v>He explains the concept with clear examples.</v>
      </c>
    </row>
    <row r="112" spans="1:5" x14ac:dyDescent="0.25">
      <c r="A112" s="2" t="s">
        <v>335</v>
      </c>
      <c r="B112" s="2" t="s">
        <v>336</v>
      </c>
      <c r="C112" s="3" t="s">
        <v>337</v>
      </c>
      <c r="D112" s="3" t="str">
        <f ca="1">IFERROR(__xludf.DUMMYFUNCTION("GOOGLETRANSLATE(A112,""fr"",""en"")"),"to agree ")</f>
        <v xml:space="preserve">to agree </v>
      </c>
      <c r="E112" s="3" t="str">
        <f ca="1">IFERROR(__xludf.DUMMYFUNCTION("GOOGLETRANSLATE(B112,""fr"",""en"")"),"We pay special attention to details.")</f>
        <v>We pay special attention to details.</v>
      </c>
    </row>
    <row r="113" spans="1:5" x14ac:dyDescent="0.25">
      <c r="A113" s="2" t="s">
        <v>338</v>
      </c>
      <c r="B113" s="2" t="s">
        <v>339</v>
      </c>
      <c r="C113" s="3" t="s">
        <v>340</v>
      </c>
      <c r="D113" s="3" t="str">
        <f ca="1">IFERROR(__xludf.DUMMYFUNCTION("GOOGLETRANSLATE(A113,""fr"",""en"")"),"measure")</f>
        <v>measure</v>
      </c>
      <c r="E113" s="3" t="str">
        <f ca="1">IFERROR(__xludf.DUMMYFUNCTION("GOOGLETRANSLATE(B113,""fr"",""en"")"),"It measures the temperature every hour.")</f>
        <v>It measures the temperature every hour.</v>
      </c>
    </row>
    <row r="114" spans="1:5" x14ac:dyDescent="0.25">
      <c r="A114" s="2" t="s">
        <v>341</v>
      </c>
      <c r="B114" s="2" t="s">
        <v>342</v>
      </c>
      <c r="C114" s="3" t="s">
        <v>343</v>
      </c>
      <c r="D114" s="3" t="str">
        <f ca="1">IFERROR(__xludf.DUMMYFUNCTION("GOOGLETRANSLATE(A114,""fr"",""en"")"),"discover")</f>
        <v>discover</v>
      </c>
      <c r="E114" s="3" t="str">
        <f ca="1">IFERROR(__xludf.DUMMYFUNCTION("GOOGLETRANSLATE(B114,""fr"",""en"")"),"They discover new research methods.")</f>
        <v>They discover new research methods.</v>
      </c>
    </row>
    <row r="115" spans="1:5" x14ac:dyDescent="0.25">
      <c r="A115" s="2" t="s">
        <v>344</v>
      </c>
      <c r="B115" s="2" t="s">
        <v>345</v>
      </c>
      <c r="C115" s="3" t="s">
        <v>346</v>
      </c>
      <c r="D115" s="3" t="str">
        <f ca="1">IFERROR(__xludf.DUMMYFUNCTION("GOOGLETRANSLATE(A115,""fr"",""en"")"),"benefit")</f>
        <v>benefit</v>
      </c>
      <c r="E115" s="3" t="str">
        <f ca="1">IFERROR(__xludf.DUMMYFUNCTION("GOOGLETRANSLATE(B115,""fr"",""en"")"),"We benefit from his expertise.")</f>
        <v>We benefit from his expertise.</v>
      </c>
    </row>
    <row r="116" spans="1:5" x14ac:dyDescent="0.25">
      <c r="A116" s="2" t="s">
        <v>347</v>
      </c>
      <c r="B116" s="2" t="s">
        <v>348</v>
      </c>
      <c r="C116" s="3" t="s">
        <v>349</v>
      </c>
      <c r="D116" s="3" t="str">
        <f ca="1">IFERROR(__xludf.DUMMYFUNCTION("GOOGLETRANSLATE(A116,""fr"",""en"")"),"organize")</f>
        <v>organize</v>
      </c>
      <c r="E116" s="3" t="str">
        <f ca="1">IFERROR(__xludf.DUMMYFUNCTION("GOOGLETRANSLATE(B116,""fr"",""en"")"),"She organizes charity events.")</f>
        <v>She organizes charity events.</v>
      </c>
    </row>
    <row r="117" spans="1:5" x14ac:dyDescent="0.25">
      <c r="A117" s="2" t="s">
        <v>350</v>
      </c>
      <c r="B117" s="2" t="s">
        <v>351</v>
      </c>
      <c r="C117" s="3" t="s">
        <v>352</v>
      </c>
      <c r="D117" s="3" t="str">
        <f ca="1">IFERROR(__xludf.DUMMYFUNCTION("GOOGLETRANSLATE(A117,""fr"",""en"")"),"to transmit")</f>
        <v>to transmit</v>
      </c>
      <c r="E117" s="3" t="str">
        <f ca="1">IFERROR(__xludf.DUMMYFUNCTION("GOOGLETRANSLATE(B117,""fr"",""en"")"),"They pass the information on to the authorities.")</f>
        <v>They pass the information on to the authorities.</v>
      </c>
    </row>
    <row r="118" spans="1:5" x14ac:dyDescent="0.25">
      <c r="A118" s="2" t="s">
        <v>353</v>
      </c>
      <c r="B118" s="2" t="s">
        <v>354</v>
      </c>
      <c r="C118" s="3" t="s">
        <v>355</v>
      </c>
      <c r="D118" s="3" t="str">
        <f ca="1">IFERROR(__xludf.DUMMYFUNCTION("GOOGLETRANSLATE(A118,""fr"",""en"")"),"integrate")</f>
        <v>integrate</v>
      </c>
      <c r="E118" s="3" t="str">
        <f ca="1">IFERROR(__xludf.DUMMYFUNCTION("GOOGLETRANSLATE(B118,""fr"",""en"")"),"We are integrating new features into the application.")</f>
        <v>We are integrating new features into the application.</v>
      </c>
    </row>
    <row r="119" spans="1:5" x14ac:dyDescent="0.25">
      <c r="A119" s="2" t="s">
        <v>356</v>
      </c>
      <c r="B119" s="2" t="s">
        <v>357</v>
      </c>
      <c r="C119" s="3" t="s">
        <v>358</v>
      </c>
      <c r="D119" s="3" t="str">
        <f ca="1">IFERROR(__xludf.DUMMYFUNCTION("GOOGLETRANSLATE(A119,""fr"",""en"")"),"carry out")</f>
        <v>carry out</v>
      </c>
      <c r="E119" s="3" t="str">
        <f ca="1">IFERROR(__xludf.DUMMYFUNCTION("GOOGLETRANSLATE(B119,""fr"",""en"")"),"He is conducting research on the subject.")</f>
        <v>He is conducting research on the subject.</v>
      </c>
    </row>
    <row r="120" spans="1:5" x14ac:dyDescent="0.25">
      <c r="A120" s="2" t="s">
        <v>359</v>
      </c>
      <c r="B120" s="2" t="s">
        <v>360</v>
      </c>
      <c r="C120" s="3" t="s">
        <v>361</v>
      </c>
      <c r="D120" s="3" t="str">
        <f ca="1">IFERROR(__xludf.DUMMYFUNCTION("GOOGLETRANSLATE(A120,""fr"",""en"")"),"include")</f>
        <v>include</v>
      </c>
      <c r="E120" s="3" t="str">
        <f ca="1">IFERROR(__xludf.DUMMYFUNCTION("GOOGLETRANSLATE(B120,""fr"",""en"")"),"It includes all necessary documents in the file.")</f>
        <v>It includes all necessary documents in the file.</v>
      </c>
    </row>
    <row r="121" spans="1:5" x14ac:dyDescent="0.25">
      <c r="A121" s="2" t="s">
        <v>362</v>
      </c>
      <c r="B121" s="2" t="s">
        <v>363</v>
      </c>
      <c r="C121" s="3" t="s">
        <v>364</v>
      </c>
      <c r="D121" s="3" t="str">
        <f ca="1">IFERROR(__xludf.DUMMYFUNCTION("GOOGLETRANSLATE(A121,""fr"",""en"")"),"think")</f>
        <v>think</v>
      </c>
      <c r="E121" s="3" t="str">
        <f ca="1">IFERROR(__xludf.DUMMYFUNCTION("GOOGLETRANSLATE(B121,""fr"",""en"")"),"We are thinking about our next vacation.")</f>
        <v>We are thinking about our next vacation.</v>
      </c>
    </row>
    <row r="122" spans="1:5" x14ac:dyDescent="0.25">
      <c r="A122" s="2" t="s">
        <v>365</v>
      </c>
      <c r="B122" s="2" t="s">
        <v>366</v>
      </c>
      <c r="C122" s="3" t="s">
        <v>367</v>
      </c>
      <c r="D122" s="3" t="str">
        <f ca="1">IFERROR(__xludf.DUMMYFUNCTION("GOOGLETRANSLATE(A122,""fr"",""en"")"),"look")</f>
        <v>look</v>
      </c>
      <c r="E122" s="3" t="str">
        <f ca="1">IFERROR(__xludf.DUMMYFUNCTION("GOOGLETRANSLATE(B122,""fr"",""en"")"),"They watch a movie together.")</f>
        <v>They watch a movie together.</v>
      </c>
    </row>
    <row r="123" spans="1:5" x14ac:dyDescent="0.25">
      <c r="A123" s="2" t="s">
        <v>368</v>
      </c>
      <c r="B123" s="2" t="s">
        <v>369</v>
      </c>
      <c r="C123" s="3" t="s">
        <v>370</v>
      </c>
      <c r="D123" s="3" t="str">
        <f ca="1">IFERROR(__xludf.DUMMYFUNCTION("GOOGLETRANSLATE(A123,""fr"",""en"")"),"to show")</f>
        <v>to show</v>
      </c>
      <c r="E123" s="3" t="str">
        <f ca="1">IFERROR(__xludf.DUMMYFUNCTION("GOOGLETRANSLATE(B123,""fr"",""en"")"),"She shows her project to her colleagues.")</f>
        <v>She shows her project to her colleagues.</v>
      </c>
    </row>
    <row r="124" spans="1:5" x14ac:dyDescent="0.25">
      <c r="A124" s="2" t="s">
        <v>371</v>
      </c>
      <c r="B124" s="2" t="s">
        <v>372</v>
      </c>
      <c r="C124" s="3" t="s">
        <v>373</v>
      </c>
      <c r="D124" s="3" t="str">
        <f ca="1">IFERROR(__xludf.DUMMYFUNCTION("GOOGLETRANSLATE(A124,""fr"",""en"")"),"earn")</f>
        <v>earn</v>
      </c>
      <c r="E124" s="3" t="str">
        <f ca="1">IFERROR(__xludf.DUMMYFUNCTION("GOOGLETRANSLATE(B124,""fr"",""en"")"),"We save time by using this tool.")</f>
        <v>We save time by using this tool.</v>
      </c>
    </row>
    <row r="125" spans="1:5" x14ac:dyDescent="0.25">
      <c r="A125" s="2" t="s">
        <v>374</v>
      </c>
      <c r="B125" s="2" t="s">
        <v>375</v>
      </c>
      <c r="C125" s="3" t="s">
        <v>376</v>
      </c>
      <c r="D125" s="3" t="str">
        <f ca="1">IFERROR(__xludf.DUMMYFUNCTION("GOOGLETRANSLATE(A125,""fr"",""en"")"),"exercise")</f>
        <v>exercise</v>
      </c>
      <c r="E125" s="3" t="str">
        <f ca="1">IFERROR(__xludf.DUMMYFUNCTION("GOOGLETRANSLATE(B125,""fr"",""en"")"),"He practices his profession with passion.")</f>
        <v>He practices his profession with passion.</v>
      </c>
    </row>
    <row r="126" spans="1:5" x14ac:dyDescent="0.25">
      <c r="A126" s="2" t="s">
        <v>377</v>
      </c>
      <c r="B126" s="2" t="s">
        <v>378</v>
      </c>
      <c r="C126" s="3" t="s">
        <v>379</v>
      </c>
      <c r="D126" s="3" t="str">
        <f ca="1">IFERROR(__xludf.DUMMYFUNCTION("GOOGLETRANSLATE(A126,""fr"",""en"")"),"fill")</f>
        <v>fill</v>
      </c>
      <c r="E126" s="3" t="str">
        <f ca="1">IFERROR(__xludf.DUMMYFUNCTION("GOOGLETRANSLATE(B126,""fr"",""en"")"),"She fills out the online form.")</f>
        <v>She fills out the online form.</v>
      </c>
    </row>
    <row r="127" spans="1:5" x14ac:dyDescent="0.25">
      <c r="A127" s="2" t="s">
        <v>380</v>
      </c>
      <c r="B127" s="2" t="s">
        <v>381</v>
      </c>
      <c r="C127" s="3" t="s">
        <v>382</v>
      </c>
      <c r="D127" s="3" t="str">
        <f ca="1">IFERROR(__xludf.DUMMYFUNCTION("GOOGLETRANSLATE(A127,""fr"",""en"")"),"to propose")</f>
        <v>to propose</v>
      </c>
      <c r="E127" s="3" t="str">
        <f ca="1">IFERROR(__xludf.DUMMYFUNCTION("GOOGLETRANSLATE(B127,""fr"",""en"")"),"We offer an alternative solution.")</f>
        <v>We offer an alternative solution.</v>
      </c>
    </row>
    <row r="128" spans="1:5" x14ac:dyDescent="0.25">
      <c r="A128" s="2" t="s">
        <v>383</v>
      </c>
      <c r="B128" s="2" t="s">
        <v>384</v>
      </c>
      <c r="C128" s="3" t="s">
        <v>385</v>
      </c>
      <c r="D128" s="3" t="str">
        <f ca="1">IFERROR(__xludf.DUMMYFUNCTION("GOOGLETRANSLATE(A128,""fr"",""en"")"),"engage")</f>
        <v>engage</v>
      </c>
      <c r="E128" s="3" t="str">
        <f ca="1">IFERROR(__xludf.DUMMYFUNCTION("GOOGLETRANSLATE(B128,""fr"",""en"")"),"They hire a new employee.")</f>
        <v>They hire a new employee.</v>
      </c>
    </row>
    <row r="129" spans="1:5" x14ac:dyDescent="0.25">
      <c r="A129" s="2" t="s">
        <v>386</v>
      </c>
      <c r="B129" s="2" t="s">
        <v>387</v>
      </c>
      <c r="C129" s="3" t="s">
        <v>388</v>
      </c>
      <c r="D129" s="3" t="str">
        <f ca="1">IFERROR(__xludf.DUMMYFUNCTION("GOOGLETRANSLATE(A129,""fr"",""en"")"),"emphasize")</f>
        <v>emphasize</v>
      </c>
      <c r="E129" s="3" t="str">
        <f ca="1">IFERROR(__xludf.DUMMYFUNCTION("GOOGLETRANSLATE(B129,""fr"",""en"")"),"She emphasizes the importance of security.")</f>
        <v>She emphasizes the importance of security.</v>
      </c>
    </row>
    <row r="130" spans="1:5" x14ac:dyDescent="0.25">
      <c r="A130" s="2" t="s">
        <v>389</v>
      </c>
      <c r="B130" s="2" t="s">
        <v>390</v>
      </c>
      <c r="C130" s="3" t="s">
        <v>391</v>
      </c>
      <c r="D130" s="3" t="str">
        <f ca="1">IFERROR(__xludf.DUMMYFUNCTION("GOOGLETRANSLATE(A130,""fr"",""en"")"),"inform")</f>
        <v>inform</v>
      </c>
      <c r="E130" s="3" t="str">
        <f ca="1">IFERROR(__xludf.DUMMYFUNCTION("GOOGLETRANSLATE(B130,""fr"",""en"")"),"He informs students of program changes.")</f>
        <v>He informs students of program changes.</v>
      </c>
    </row>
    <row r="131" spans="1:5" x14ac:dyDescent="0.25">
      <c r="A131" s="2" t="s">
        <v>392</v>
      </c>
      <c r="B131" s="2" t="s">
        <v>393</v>
      </c>
      <c r="C131" s="3" t="s">
        <v>394</v>
      </c>
      <c r="D131" s="3" t="str">
        <f ca="1">IFERROR(__xludf.DUMMYFUNCTION("GOOGLETRANSLATE(A131,""fr"",""en"")"),"duty")</f>
        <v>duty</v>
      </c>
      <c r="E131" s="3" t="str">
        <f ca="1">IFERROR(__xludf.DUMMYFUNCTION("GOOGLETRANSLATE(B131,""fr"",""en"")"),"We have to meet deadlines.")</f>
        <v>We have to meet deadlines.</v>
      </c>
    </row>
    <row r="132" spans="1:5" x14ac:dyDescent="0.25">
      <c r="A132" s="2" t="s">
        <v>395</v>
      </c>
      <c r="B132" s="2" t="s">
        <v>396</v>
      </c>
      <c r="C132" s="3" t="s">
        <v>397</v>
      </c>
      <c r="D132" s="3" t="str">
        <f ca="1">IFERROR(__xludf.DUMMYFUNCTION("GOOGLETRANSLATE(A132,""fr"",""en"")"),"occupy")</f>
        <v>occupy</v>
      </c>
      <c r="E132" s="3" t="str">
        <f ca="1">IFERROR(__xludf.DUMMYFUNCTION("GOOGLETRANSLATE(B132,""fr"",""en"")"),"She takes care of the plants in the garden.")</f>
        <v>She takes care of the plants in the garden.</v>
      </c>
    </row>
    <row r="133" spans="1:5" x14ac:dyDescent="0.25">
      <c r="A133" s="2" t="s">
        <v>398</v>
      </c>
      <c r="B133" s="2" t="s">
        <v>399</v>
      </c>
      <c r="C133" s="3" t="s">
        <v>400</v>
      </c>
      <c r="D133" s="3" t="str">
        <f ca="1">IFERROR(__xludf.DUMMYFUNCTION("GOOGLETRANSLATE(A133,""fr"",""en"")"),"lose")</f>
        <v>lose</v>
      </c>
      <c r="E133" s="3" t="str">
        <f ca="1">IFERROR(__xludf.DUMMYFUNCTION("GOOGLETRANSLATE(B133,""fr"",""en"")"),"They rarely lose their belongings.")</f>
        <v>They rarely lose their belongings.</v>
      </c>
    </row>
    <row r="134" spans="1:5" x14ac:dyDescent="0.25">
      <c r="A134" s="2" t="s">
        <v>401</v>
      </c>
      <c r="B134" s="2" t="s">
        <v>402</v>
      </c>
      <c r="C134" s="3" t="s">
        <v>403</v>
      </c>
      <c r="D134" s="3" t="str">
        <f ca="1">IFERROR(__xludf.DUMMYFUNCTION("GOOGLETRANSLATE(A134,""fr"",""en"")"),"replace")</f>
        <v>replace</v>
      </c>
      <c r="E134" s="3" t="str">
        <f ca="1">IFERROR(__xludf.DUMMYFUNCTION("GOOGLETRANSLATE(B134,""fr"",""en"")"),"We replace old bulbs with LEDs.")</f>
        <v>We replace old bulbs with LEDs.</v>
      </c>
    </row>
    <row r="135" spans="1:5" x14ac:dyDescent="0.25">
      <c r="A135" s="2" t="s">
        <v>404</v>
      </c>
      <c r="B135" s="2" t="s">
        <v>405</v>
      </c>
      <c r="C135" s="3" t="s">
        <v>406</v>
      </c>
      <c r="D135" s="3" t="str">
        <f ca="1">IFERROR(__xludf.DUMMYFUNCTION("GOOGLETRANSLATE(A135,""fr"",""en"")"),"remind")</f>
        <v>remind</v>
      </c>
      <c r="E135" s="3" t="str">
        <f ca="1">IFERROR(__xludf.DUMMYFUNCTION("GOOGLETRANSLATE(B135,""fr"",""en"")"),"She reminds her friends to confirm their attendance.")</f>
        <v>She reminds her friends to confirm their attendance.</v>
      </c>
    </row>
    <row r="136" spans="1:5" x14ac:dyDescent="0.25">
      <c r="A136" s="2" t="s">
        <v>407</v>
      </c>
      <c r="B136" s="2" t="s">
        <v>408</v>
      </c>
      <c r="C136" s="3" t="s">
        <v>409</v>
      </c>
      <c r="D136" s="3" t="str">
        <f ca="1">IFERROR(__xludf.DUMMYFUNCTION("GOOGLETRANSLATE(A136,""fr"",""en"")"),"to watch")</f>
        <v>to watch</v>
      </c>
      <c r="E136" s="3" t="str">
        <f ca="1">IFERROR(__xludf.DUMMYFUNCTION("GOOGLETRANSLATE(B136,""fr"",""en"")"),"They monitor the children's behavior.")</f>
        <v>They monitor the children's behavior.</v>
      </c>
    </row>
    <row r="137" spans="1:5" x14ac:dyDescent="0.25">
      <c r="A137" s="2" t="s">
        <v>410</v>
      </c>
      <c r="B137" s="2" t="s">
        <v>411</v>
      </c>
      <c r="C137" s="3" t="s">
        <v>412</v>
      </c>
      <c r="D137" s="3" t="str">
        <f ca="1">IFERROR(__xludf.DUMMYFUNCTION("GOOGLETRANSLATE(A137,""fr"",""en"")"),"share")</f>
        <v>share</v>
      </c>
      <c r="E137" s="3" t="str">
        <f ca="1">IFERROR(__xludf.DUMMYFUNCTION("GOOGLETRANSLATE(B137,""fr"",""en"")"),"We share our resources with partners.")</f>
        <v>We share our resources with partners.</v>
      </c>
    </row>
    <row r="138" spans="1:5" x14ac:dyDescent="0.25">
      <c r="A138" s="2" t="s">
        <v>413</v>
      </c>
      <c r="B138" s="2" t="s">
        <v>414</v>
      </c>
      <c r="C138" s="3" t="s">
        <v>415</v>
      </c>
      <c r="D138" s="3" t="str">
        <f ca="1">IFERROR(__xludf.DUMMYFUNCTION("GOOGLETRANSLATE(A138,""fr"",""en"")"),"meet")</f>
        <v>meet</v>
      </c>
      <c r="E138" s="3" t="str">
        <f ca="1">IFERROR(__xludf.DUMMYFUNCTION("GOOGLETRANSLATE(B138,""fr"",""en"")"),"She often meets interesting people.")</f>
        <v>She often meets interesting people.</v>
      </c>
    </row>
    <row r="139" spans="1:5" x14ac:dyDescent="0.25">
      <c r="A139" s="2" t="s">
        <v>416</v>
      </c>
      <c r="B139" s="2" t="s">
        <v>417</v>
      </c>
      <c r="C139" s="3" t="s">
        <v>418</v>
      </c>
      <c r="D139" s="3" t="str">
        <f ca="1">IFERROR(__xludf.DUMMYFUNCTION("GOOGLETRANSLATE(A139,""fr"",""en"")"),"keep")</f>
        <v>keep</v>
      </c>
      <c r="E139" s="3" t="str">
        <f ca="1">IFERROR(__xludf.DUMMYFUNCTION("GOOGLETRANSLATE(B139,""fr"",""en"")"),"They keep the records in a safe place.")</f>
        <v>They keep the records in a safe place.</v>
      </c>
    </row>
    <row r="140" spans="1:5" x14ac:dyDescent="0.25">
      <c r="A140" s="2" t="s">
        <v>419</v>
      </c>
      <c r="B140" s="2" t="s">
        <v>420</v>
      </c>
      <c r="C140" s="3" t="s">
        <v>421</v>
      </c>
      <c r="D140" s="3" t="str">
        <f ca="1">IFERROR(__xludf.DUMMYFUNCTION("GOOGLETRANSLATE(A140,""fr"",""en"")"),"to raise")</f>
        <v>to raise</v>
      </c>
      <c r="E140" s="3" t="str">
        <f ca="1">IFERROR(__xludf.DUMMYFUNCTION("GOOGLETRANSLATE(B140,""fr"",""en"")"),"We collect data every hour.")</f>
        <v>We collect data every hour.</v>
      </c>
    </row>
    <row r="141" spans="1:5" x14ac:dyDescent="0.25">
      <c r="A141" s="2" t="s">
        <v>422</v>
      </c>
      <c r="B141" s="2" t="s">
        <v>423</v>
      </c>
      <c r="C141" s="3" t="s">
        <v>424</v>
      </c>
      <c r="D141" s="3" t="str">
        <f ca="1">IFERROR(__xludf.DUMMYFUNCTION("GOOGLETRANSLATE(A141,""fr"",""en"")"),"finance")</f>
        <v>finance</v>
      </c>
      <c r="E141" s="3" t="str">
        <f ca="1">IFERROR(__xludf.DUMMYFUNCTION("GOOGLETRANSLATE(B141,""fr"",""en"")"),"She finances her project with her savings.")</f>
        <v>She finances her project with her savings.</v>
      </c>
    </row>
    <row r="142" spans="1:5" x14ac:dyDescent="0.25">
      <c r="A142" s="2" t="s">
        <v>425</v>
      </c>
      <c r="B142" s="2" t="s">
        <v>426</v>
      </c>
      <c r="C142" s="3" t="s">
        <v>427</v>
      </c>
      <c r="D142" s="3" t="str">
        <f ca="1">IFERROR(__xludf.DUMMYFUNCTION("GOOGLETRANSLATE(A142,""fr"",""en"")"),"arrive")</f>
        <v>arrive</v>
      </c>
      <c r="E142" s="3" t="str">
        <f ca="1">IFERROR(__xludf.DUMMYFUNCTION("GOOGLETRANSLATE(B142,""fr"",""en"")"),"They always arrive on time.")</f>
        <v>They always arrive on time.</v>
      </c>
    </row>
    <row r="143" spans="1:5" x14ac:dyDescent="0.25">
      <c r="A143" s="2" t="s">
        <v>428</v>
      </c>
      <c r="B143" s="2" t="s">
        <v>429</v>
      </c>
      <c r="C143" s="3" t="s">
        <v>430</v>
      </c>
      <c r="D143" s="3" t="str">
        <f ca="1">IFERROR(__xludf.DUMMYFUNCTION("GOOGLETRANSLATE(A143,""fr"",""en"")"),"build")</f>
        <v>build</v>
      </c>
      <c r="E143" s="3" t="str">
        <f ca="1">IFERROR(__xludf.DUMMYFUNCTION("GOOGLETRANSLATE(B143,""fr"",""en"")"),"We are building a new school.")</f>
        <v>We are building a new school.</v>
      </c>
    </row>
    <row r="144" spans="1:5" x14ac:dyDescent="0.25">
      <c r="A144" s="2" t="s">
        <v>431</v>
      </c>
      <c r="B144" s="2" t="s">
        <v>432</v>
      </c>
      <c r="C144" s="3" t="s">
        <v>433</v>
      </c>
      <c r="D144" s="3" t="str">
        <f ca="1">IFERROR(__xludf.DUMMYFUNCTION("GOOGLETRANSLATE(A144,""fr"",""en"")"),"to consult")</f>
        <v>to consult</v>
      </c>
      <c r="E144" s="3" t="str">
        <f ca="1">IFERROR(__xludf.DUMMYFUNCTION("GOOGLETRANSLATE(B144,""fr"",""en"")"),"She consults a specialist for advice.")</f>
        <v>She consults a specialist for advice.</v>
      </c>
    </row>
    <row r="145" spans="1:5" x14ac:dyDescent="0.25">
      <c r="A145" s="2" t="s">
        <v>434</v>
      </c>
      <c r="B145" s="2" t="s">
        <v>435</v>
      </c>
      <c r="C145" s="3" t="s">
        <v>436</v>
      </c>
      <c r="D145" s="3" t="str">
        <f ca="1">IFERROR(__xludf.DUMMYFUNCTION("GOOGLETRANSLATE(A145,""fr"",""en"")"),"serve")</f>
        <v>serve</v>
      </c>
      <c r="E145" s="3" t="str">
        <f ca="1">IFERROR(__xludf.DUMMYFUNCTION("GOOGLETRANSLATE(B145,""fr"",""en"")"),"They serve dessert after the meal.")</f>
        <v>They serve dessert after the meal.</v>
      </c>
    </row>
    <row r="146" spans="1:5" x14ac:dyDescent="0.25">
      <c r="A146" s="2" t="s">
        <v>437</v>
      </c>
      <c r="B146" s="2" t="s">
        <v>438</v>
      </c>
      <c r="C146" s="3" t="s">
        <v>439</v>
      </c>
      <c r="D146" s="3" t="str">
        <f ca="1">IFERROR(__xludf.DUMMYFUNCTION("GOOGLETRANSLATE(A146,""fr"",""en"")"),"die")</f>
        <v>die</v>
      </c>
      <c r="E146" s="3" t="str">
        <f ca="1">IFERROR(__xludf.DUMMYFUNCTION("GOOGLETRANSLATE(B146,""fr"",""en"")"),"We're dying to know what happens next.")</f>
        <v>We're dying to know what happens next.</v>
      </c>
    </row>
    <row r="147" spans="1:5" x14ac:dyDescent="0.25">
      <c r="A147" s="2" t="s">
        <v>440</v>
      </c>
      <c r="B147" s="2" t="s">
        <v>441</v>
      </c>
      <c r="C147" s="3" t="s">
        <v>442</v>
      </c>
      <c r="D147" s="3" t="str">
        <f ca="1">IFERROR(__xludf.DUMMYFUNCTION("GOOGLETRANSLATE(A147,""fr"",""en"")"),"throw")</f>
        <v>throw</v>
      </c>
      <c r="E147" s="3" t="str">
        <f ca="1">IFERROR(__xludf.DUMMYFUNCTION("GOOGLETRANSLATE(B147,""fr"",""en"")"),"She is launching a new ecological initiative.")</f>
        <v>She is launching a new ecological initiative.</v>
      </c>
    </row>
    <row r="148" spans="1:5" x14ac:dyDescent="0.25">
      <c r="A148" s="2" t="s">
        <v>443</v>
      </c>
      <c r="B148" s="2" t="s">
        <v>444</v>
      </c>
      <c r="C148" s="3" t="s">
        <v>445</v>
      </c>
      <c r="D148" s="3" t="str">
        <f ca="1">IFERROR(__xludf.DUMMYFUNCTION("GOOGLETRANSLATE(A148,""fr"",""en"")"),"consider")</f>
        <v>consider</v>
      </c>
      <c r="E148" s="3" t="str">
        <f ca="1">IFERROR(__xludf.DUMMYFUNCTION("GOOGLETRANSLATE(B148,""fr"",""en"")"),"They are planning to expand their business.")</f>
        <v>They are planning to expand their business.</v>
      </c>
    </row>
    <row r="149" spans="1:5" x14ac:dyDescent="0.25">
      <c r="A149" s="2" t="s">
        <v>446</v>
      </c>
      <c r="B149" s="2" t="s">
        <v>447</v>
      </c>
      <c r="C149" s="3" t="s">
        <v>448</v>
      </c>
      <c r="D149" s="3" t="str">
        <f ca="1">IFERROR(__xludf.DUMMYFUNCTION("GOOGLETRANSLATE(A149,""fr"",""en"")"),"express")</f>
        <v>express</v>
      </c>
      <c r="E149" s="3" t="str">
        <f ca="1">IFERROR(__xludf.DUMMYFUNCTION("GOOGLETRANSLATE(B149,""fr"",""en"")"),"We express our concerns to the committee.")</f>
        <v>We express our concerns to the committee.</v>
      </c>
    </row>
    <row r="150" spans="1:5" x14ac:dyDescent="0.25">
      <c r="A150" s="2" t="s">
        <v>449</v>
      </c>
      <c r="B150" s="2" t="s">
        <v>450</v>
      </c>
      <c r="C150" s="3" t="s">
        <v>451</v>
      </c>
      <c r="D150" s="3" t="str">
        <f ca="1">IFERROR(__xludf.DUMMYFUNCTION("GOOGLETRANSLATE(A150,""fr"",""en"")"),"analyze")</f>
        <v>analyze</v>
      </c>
      <c r="E150" s="3" t="str">
        <f ca="1">IFERROR(__xludf.DUMMYFUNCTION("GOOGLETRANSLATE(B150,""fr"",""en"")"),"She analyzes the results of the survey.")</f>
        <v>She analyzes the results of the survey.</v>
      </c>
    </row>
    <row r="151" spans="1:5" x14ac:dyDescent="0.25">
      <c r="A151" s="2" t="s">
        <v>452</v>
      </c>
      <c r="B151" s="2" t="s">
        <v>453</v>
      </c>
      <c r="C151" s="3" t="s">
        <v>454</v>
      </c>
      <c r="D151" s="3" t="str">
        <f ca="1">IFERROR(__xludf.DUMMYFUNCTION("GOOGLETRANSLATE(A151,""fr"",""en"")"),"to expect")</f>
        <v>to expect</v>
      </c>
      <c r="E151" s="3" t="str">
        <f ca="1">IFERROR(__xludf.DUMMYFUNCTION("GOOGLETRANSLATE(B151,""fr"",""en"")"),"They provide security measures.")</f>
        <v>They provide security measures.</v>
      </c>
    </row>
    <row r="152" spans="1:5" x14ac:dyDescent="0.25">
      <c r="A152" s="2" t="s">
        <v>455</v>
      </c>
      <c r="B152" s="2" t="s">
        <v>456</v>
      </c>
      <c r="C152" s="3" t="s">
        <v>457</v>
      </c>
      <c r="D152" s="3" t="str">
        <f ca="1">IFERROR(__xludf.DUMMYFUNCTION("GOOGLETRANSLATE(A152,""fr"",""en"")"),"decide")</f>
        <v>decide</v>
      </c>
      <c r="E152" s="3" t="str">
        <f ca="1">IFERROR(__xludf.DUMMYFUNCTION("GOOGLETRANSLATE(B152,""fr"",""en"")"),"We decide to go on vacation.")</f>
        <v>We decide to go on vacation.</v>
      </c>
    </row>
    <row r="153" spans="1:5" x14ac:dyDescent="0.25">
      <c r="A153" s="2" t="s">
        <v>458</v>
      </c>
      <c r="B153" s="2" t="s">
        <v>459</v>
      </c>
      <c r="C153" s="3" t="s">
        <v>460</v>
      </c>
      <c r="D153" s="3" t="str">
        <f ca="1">IFERROR(__xludf.DUMMYFUNCTION("GOOGLETRANSLATE(A153,""fr"",""en"")"),"note")</f>
        <v>note</v>
      </c>
      <c r="E153" s="3" t="str">
        <f ca="1">IFERROR(__xludf.DUMMYFUNCTION("GOOGLETRANSLATE(B153,""fr"",""en"")"),"She notes the important points of the meeting.")</f>
        <v>She notes the important points of the meeting.</v>
      </c>
    </row>
    <row r="154" spans="1:5" x14ac:dyDescent="0.25">
      <c r="A154" s="2" t="s">
        <v>461</v>
      </c>
      <c r="B154" s="2" t="s">
        <v>462</v>
      </c>
      <c r="C154" s="3" t="s">
        <v>463</v>
      </c>
      <c r="D154" s="3" t="str">
        <f ca="1">IFERROR(__xludf.DUMMYFUNCTION("GOOGLETRANSLATE(A154,""fr"",""en"")"),"satisfy")</f>
        <v>satisfy</v>
      </c>
      <c r="E154" s="3" t="str">
        <f ca="1">IFERROR(__xludf.DUMMYFUNCTION("GOOGLETRANSLATE(B154,""fr"",""en"")"),"They always meet customer expectations.")</f>
        <v>They always meet customer expectations.</v>
      </c>
    </row>
    <row r="155" spans="1:5" x14ac:dyDescent="0.25">
      <c r="A155" s="2" t="s">
        <v>464</v>
      </c>
      <c r="B155" s="2" t="s">
        <v>465</v>
      </c>
      <c r="C155" s="3" t="s">
        <v>466</v>
      </c>
      <c r="D155" s="3" t="str">
        <f ca="1">IFERROR(__xludf.DUMMYFUNCTION("GOOGLETRANSLATE(A155,""fr"",""en"")"),"order")</f>
        <v>order</v>
      </c>
      <c r="E155" s="3" t="str">
        <f ca="1">IFERROR(__xludf.DUMMYFUNCTION("GOOGLETRANSLATE(B155,""fr"",""en"")"),"We order office supplies.")</f>
        <v>We order office supplies.</v>
      </c>
    </row>
    <row r="156" spans="1:5" x14ac:dyDescent="0.25">
      <c r="A156" s="2" t="s">
        <v>467</v>
      </c>
      <c r="B156" s="2" t="s">
        <v>468</v>
      </c>
      <c r="C156" s="3" t="s">
        <v>469</v>
      </c>
      <c r="D156" s="3" t="str">
        <f ca="1">IFERROR(__xludf.DUMMYFUNCTION("GOOGLETRANSLATE(A156,""fr"",""en"")"),"execute")</f>
        <v>execute</v>
      </c>
      <c r="E156" s="3" t="str">
        <f ca="1">IFERROR(__xludf.DUMMYFUNCTION("GOOGLETRANSLATE(B156,""fr"",""en"")"),"He performs tasks with precision.")</f>
        <v>He performs tasks with precision.</v>
      </c>
    </row>
    <row r="157" spans="1:5" x14ac:dyDescent="0.25">
      <c r="A157" s="2" t="s">
        <v>470</v>
      </c>
      <c r="B157" s="2" t="s">
        <v>471</v>
      </c>
      <c r="C157" s="3" t="s">
        <v>472</v>
      </c>
      <c r="D157" s="3" t="str">
        <f ca="1">IFERROR(__xludf.DUMMYFUNCTION("GOOGLETRANSLATE(A157,""fr"",""en"")"),"generate")</f>
        <v>generate</v>
      </c>
      <c r="E157" s="3" t="str">
        <f ca="1">IFERROR(__xludf.DUMMYFUNCTION("GOOGLETRANSLATE(B157,""fr"",""en"")"),"It generates monthly reports.")</f>
        <v>It generates monthly reports.</v>
      </c>
    </row>
    <row r="158" spans="1:5" x14ac:dyDescent="0.25">
      <c r="A158" s="2" t="s">
        <v>473</v>
      </c>
      <c r="B158" s="2" t="s">
        <v>474</v>
      </c>
      <c r="C158" s="3" t="s">
        <v>475</v>
      </c>
      <c r="D158" s="3" t="str">
        <f ca="1">IFERROR(__xludf.DUMMYFUNCTION("GOOGLETRANSLATE(A158,""fr"",""en"")"),"dinner")</f>
        <v>dinner</v>
      </c>
      <c r="E158" s="3" t="str">
        <f ca="1">IFERROR(__xludf.DUMMYFUNCTION("GOOGLETRANSLATE(B158,""fr"",""en"")"),"We have dinner together every Sunday.")</f>
        <v>We have dinner together every Sunday.</v>
      </c>
    </row>
    <row r="159" spans="1:5" x14ac:dyDescent="0.25">
      <c r="A159" s="2" t="s">
        <v>476</v>
      </c>
      <c r="B159" s="2" t="s">
        <v>477</v>
      </c>
      <c r="C159" s="3" t="s">
        <v>478</v>
      </c>
      <c r="D159" s="3" t="str">
        <f ca="1">IFERROR(__xludf.DUMMYFUNCTION("GOOGLETRANSLATE(A159,""fr"",""en"")"),"to specify")</f>
        <v>to specify</v>
      </c>
      <c r="E159" s="3" t="str">
        <f ca="1">IFERROR(__xludf.DUMMYFUNCTION("GOOGLETRANSLATE(B159,""fr"",""en"")"),"It specifies the instructions for the project.")</f>
        <v>It specifies the instructions for the project.</v>
      </c>
    </row>
    <row r="160" spans="1:5" x14ac:dyDescent="0.25">
      <c r="A160" s="2" t="s">
        <v>479</v>
      </c>
      <c r="B160" s="2" t="s">
        <v>480</v>
      </c>
      <c r="C160" s="3" t="s">
        <v>481</v>
      </c>
      <c r="D160" s="3" t="str">
        <f ca="1">IFERROR(__xludf.DUMMYFUNCTION("GOOGLETRANSLATE(A160,""fr"",""en"")"),"withdraw")</f>
        <v>withdraw</v>
      </c>
      <c r="E160" s="3" t="str">
        <f ca="1">IFERROR(__xludf.DUMMYFUNCTION("GOOGLETRANSLATE(B160,""fr"",""en"")"),"They withdraw the money from the account.")</f>
        <v>They withdraw the money from the account.</v>
      </c>
    </row>
    <row r="161" spans="1:5" x14ac:dyDescent="0.25">
      <c r="A161" s="2" t="s">
        <v>482</v>
      </c>
      <c r="B161" s="2" t="s">
        <v>483</v>
      </c>
      <c r="C161" s="3" t="s">
        <v>484</v>
      </c>
      <c r="D161" s="3" t="str">
        <f ca="1">IFERROR(__xludf.DUMMYFUNCTION("GOOGLETRANSLATE(A161,""fr"",""en"")"),"train")</f>
        <v>train</v>
      </c>
      <c r="E161" s="3" t="str">
        <f ca="1">IFERROR(__xludf.DUMMYFUNCTION("GOOGLETRANSLATE(B161,""fr"",""en"")"),"We train our children to swim.")</f>
        <v>We train our children to swim.</v>
      </c>
    </row>
    <row r="162" spans="1:5" x14ac:dyDescent="0.25">
      <c r="A162" s="2" t="s">
        <v>485</v>
      </c>
      <c r="B162" s="2" t="s">
        <v>486</v>
      </c>
      <c r="C162" s="3" t="s">
        <v>487</v>
      </c>
      <c r="D162" s="3" t="str">
        <f ca="1">IFERROR(__xludf.DUMMYFUNCTION("GOOGLETRANSLATE(A162,""fr"",""en"")"),"turn")</f>
        <v>turn</v>
      </c>
      <c r="E162" s="3" t="str">
        <f ca="1">IFERROR(__xludf.DUMMYFUNCTION("GOOGLETRANSLATE(B162,""fr"",""en"")"),"She turns the page of the book.")</f>
        <v>She turns the page of the book.</v>
      </c>
    </row>
    <row r="163" spans="1:5" x14ac:dyDescent="0.25">
      <c r="A163" s="2" t="s">
        <v>488</v>
      </c>
      <c r="B163" s="2" t="s">
        <v>489</v>
      </c>
      <c r="C163" s="3" t="s">
        <v>490</v>
      </c>
      <c r="D163" s="3" t="str">
        <f ca="1">IFERROR(__xludf.DUMMYFUNCTION("GOOGLETRANSLATE(A163,""fr"",""en"")"),"constitute")</f>
        <v>constitute</v>
      </c>
      <c r="E163" s="3" t="str">
        <f ca="1">IFERROR(__xludf.DUMMYFUNCTION("GOOGLETRANSLATE(B163,""fr"",""en"")"),"They are a close-knit team.")</f>
        <v>They are a close-knit team.</v>
      </c>
    </row>
    <row r="164" spans="1:5" x14ac:dyDescent="0.25">
      <c r="A164" s="2" t="s">
        <v>491</v>
      </c>
      <c r="B164" s="2" t="s">
        <v>492</v>
      </c>
      <c r="C164" s="3" t="s">
        <v>493</v>
      </c>
      <c r="D164" s="3" t="str">
        <f ca="1">IFERROR(__xludf.DUMMYFUNCTION("GOOGLETRANSLATE(A164,""fr"",""en"")"),"advise")</f>
        <v>advise</v>
      </c>
      <c r="E164" s="3" t="str">
        <f ca="1">IFERROR(__xludf.DUMMYFUNCTION("GOOGLETRANSLATE(B164,""fr"",""en"")"),"We advise our clients on investments.")</f>
        <v>We advise our clients on investments.</v>
      </c>
    </row>
    <row r="165" spans="1:5" x14ac:dyDescent="0.25">
      <c r="A165" s="2" t="s">
        <v>494</v>
      </c>
      <c r="B165" s="2" t="s">
        <v>495</v>
      </c>
      <c r="C165" s="3" t="s">
        <v>496</v>
      </c>
      <c r="D165" s="3" t="str">
        <f ca="1">IFERROR(__xludf.DUMMYFUNCTION("GOOGLETRANSLATE(A165,""fr"",""en"")"),"find")</f>
        <v>find</v>
      </c>
      <c r="E165" s="3" t="str">
        <f ca="1">IFERROR(__xludf.DUMMYFUNCTION("GOOGLETRANSLATE(B165,""fr"",""en"")"),"She meets her friends every Friday evening.")</f>
        <v>She meets her friends every Friday evening.</v>
      </c>
    </row>
    <row r="166" spans="1:5" x14ac:dyDescent="0.25">
      <c r="A166" s="2" t="s">
        <v>497</v>
      </c>
      <c r="B166" s="2" t="s">
        <v>498</v>
      </c>
      <c r="C166" s="3" t="s">
        <v>499</v>
      </c>
      <c r="D166" s="3" t="str">
        <f ca="1">IFERROR(__xludf.DUMMYFUNCTION("GOOGLETRANSLATE(A166,""fr"",""en"")"),"preserve")</f>
        <v>preserve</v>
      </c>
      <c r="E166" s="3" t="str">
        <f ca="1">IFERROR(__xludf.DUMMYFUNCTION("GOOGLETRANSLATE(B166,""fr"",""en"")"),"They preserve local biodiversity.")</f>
        <v>They preserve local biodiversity.</v>
      </c>
    </row>
    <row r="167" spans="1:5" x14ac:dyDescent="0.25">
      <c r="A167" s="2" t="s">
        <v>500</v>
      </c>
      <c r="B167" s="2" t="s">
        <v>501</v>
      </c>
      <c r="C167" s="3" t="s">
        <v>502</v>
      </c>
      <c r="D167" s="3" t="str">
        <f ca="1">IFERROR(__xludf.DUMMYFUNCTION("GOOGLETRANSLATE(A167,""fr"",""en"")"),"submit")</f>
        <v>submit</v>
      </c>
      <c r="E167" s="3" t="str">
        <f ca="1">IFERROR(__xludf.DUMMYFUNCTION("GOOGLETRANSLATE(B167,""fr"",""en"")"),"We submit our project for approval.")</f>
        <v>We submit our project for approval.</v>
      </c>
    </row>
    <row r="168" spans="1:5" x14ac:dyDescent="0.25">
      <c r="A168" s="2" t="s">
        <v>503</v>
      </c>
      <c r="B168" s="2" t="s">
        <v>504</v>
      </c>
      <c r="C168" s="3" t="s">
        <v>505</v>
      </c>
      <c r="D168" s="3" t="str">
        <f ca="1">IFERROR(__xludf.DUMMYFUNCTION("GOOGLETRANSLATE(A168,""fr"",""en"")"),"to leave")</f>
        <v>to leave</v>
      </c>
      <c r="E168" s="3" t="str">
        <f ca="1">IFERROR(__xludf.DUMMYFUNCTION("GOOGLETRANSLATE(B168,""fr"",""en"")"),"She leaves the office at 6 p.m.")</f>
        <v>She leaves the office at 6 p.m.</v>
      </c>
    </row>
    <row r="169" spans="1:5" x14ac:dyDescent="0.25">
      <c r="A169" s="2" t="s">
        <v>506</v>
      </c>
      <c r="B169" s="2" t="s">
        <v>507</v>
      </c>
      <c r="C169" s="3" t="s">
        <v>508</v>
      </c>
      <c r="D169" s="3" t="str">
        <f ca="1">IFERROR(__xludf.DUMMYFUNCTION("GOOGLETRANSLATE(A169,""fr"",""en"")"),"to recover")</f>
        <v>to recover</v>
      </c>
      <c r="E169" s="3" t="str">
        <f ca="1">IFERROR(__xludf.DUMMYFUNCTION("GOOGLETRANSLATE(B169,""fr"",""en"")"),"They collect their things from the locker room.")</f>
        <v>They collect their things from the locker room.</v>
      </c>
    </row>
    <row r="170" spans="1:5" x14ac:dyDescent="0.25">
      <c r="A170" s="2" t="s">
        <v>509</v>
      </c>
      <c r="B170" s="2" t="s">
        <v>510</v>
      </c>
      <c r="C170" s="3" t="s">
        <v>511</v>
      </c>
      <c r="D170" s="3" t="str">
        <f ca="1">IFERROR(__xludf.DUMMYFUNCTION("GOOGLETRANSLATE(A170,""fr"",""en"")"),"to intervene")</f>
        <v>to intervene</v>
      </c>
      <c r="E170" s="3" t="str">
        <f ca="1">IFERROR(__xludf.DUMMYFUNCTION("GOOGLETRANSLATE(B170,""fr"",""en"")"),"We intervene in the event of a conflict.")</f>
        <v>We intervene in the event of a conflict.</v>
      </c>
    </row>
    <row r="171" spans="1:5" x14ac:dyDescent="0.25">
      <c r="A171" s="2" t="s">
        <v>512</v>
      </c>
      <c r="B171" s="2" t="s">
        <v>513</v>
      </c>
      <c r="C171" s="3" t="s">
        <v>514</v>
      </c>
      <c r="D171" s="3" t="str">
        <f ca="1">IFERROR(__xludf.DUMMYFUNCTION("GOOGLETRANSLATE(A171,""fr"",""en"")"),"save")</f>
        <v>save</v>
      </c>
      <c r="E171" s="3" t="str">
        <f ca="1">IFERROR(__xludf.DUMMYFUNCTION("GOOGLETRANSLATE(B171,""fr"",""en"")"),"She rescues an abandoned kitten.")</f>
        <v>She rescues an abandoned kitten.</v>
      </c>
    </row>
    <row r="172" spans="1:5" x14ac:dyDescent="0.25">
      <c r="A172" s="2" t="s">
        <v>515</v>
      </c>
      <c r="B172" s="2" t="s">
        <v>516</v>
      </c>
      <c r="C172" s="3" t="s">
        <v>517</v>
      </c>
      <c r="D172" s="3" t="str">
        <f ca="1">IFERROR(__xludf.DUMMYFUNCTION("GOOGLETRANSLATE(A172,""fr"",""en"")"),"return")</f>
        <v>return</v>
      </c>
      <c r="E172" s="3" t="str">
        <f ca="1">IFERROR(__xludf.DUMMYFUNCTION("GOOGLETRANSLATE(B172,""fr"",""en"")"),"They return to their native village every summer.")</f>
        <v>They return to their native village every summer.</v>
      </c>
    </row>
    <row r="173" spans="1:5" x14ac:dyDescent="0.25">
      <c r="A173" s="2" t="s">
        <v>518</v>
      </c>
      <c r="B173" s="2" t="s">
        <v>519</v>
      </c>
      <c r="C173" s="3" t="s">
        <v>520</v>
      </c>
      <c r="D173" s="3" t="str">
        <f ca="1">IFERROR(__xludf.DUMMYFUNCTION("GOOGLETRANSLATE(A173,""fr"",""en"")"),"introduce")</f>
        <v>introduce</v>
      </c>
      <c r="E173" s="3" t="str">
        <f ca="1">IFERROR(__xludf.DUMMYFUNCTION("GOOGLETRANSLATE(B173,""fr"",""en"")"),"We are introducing new sustainable practices.")</f>
        <v>We are introducing new sustainable practices.</v>
      </c>
    </row>
    <row r="174" spans="1:5" x14ac:dyDescent="0.25">
      <c r="A174" s="2" t="s">
        <v>521</v>
      </c>
      <c r="B174" s="2" t="s">
        <v>522</v>
      </c>
      <c r="C174" s="3" t="s">
        <v>523</v>
      </c>
      <c r="D174" s="3" t="str">
        <f ca="1">IFERROR(__xludf.DUMMYFUNCTION("GOOGLETRANSLATE(A174,""fr"",""en"")"),"save")</f>
        <v>save</v>
      </c>
      <c r="E174" s="3" t="str">
        <f ca="1">IFERROR(__xludf.DUMMYFUNCTION("GOOGLETRANSLATE(B174,""fr"",""en"")"),"She records her podcasts every week.")</f>
        <v>She records her podcasts every week.</v>
      </c>
    </row>
    <row r="175" spans="1:5" x14ac:dyDescent="0.25">
      <c r="A175" s="2" t="s">
        <v>524</v>
      </c>
      <c r="B175" s="2" t="s">
        <v>525</v>
      </c>
      <c r="C175" s="3" t="s">
        <v>526</v>
      </c>
      <c r="D175" s="3" t="str">
        <f ca="1">IFERROR(__xludf.DUMMYFUNCTION("GOOGLETRANSLATE(A175,""fr"",""en"")"),"display")</f>
        <v>display</v>
      </c>
      <c r="E175" s="3" t="str">
        <f ca="1">IFERROR(__xludf.DUMMYFUNCTION("GOOGLETRANSLATE(B175,""fr"",""en"")"),"They display the results on the board.")</f>
        <v>They display the results on the board.</v>
      </c>
    </row>
    <row r="176" spans="1:5" x14ac:dyDescent="0.25">
      <c r="A176" s="2" t="s">
        <v>527</v>
      </c>
      <c r="B176" s="2" t="s">
        <v>528</v>
      </c>
      <c r="C176" s="3" t="s">
        <v>529</v>
      </c>
      <c r="D176" s="3" t="str">
        <f ca="1">IFERROR(__xludf.DUMMYFUNCTION("GOOGLETRANSLATE(A176,""fr"",""en"")"),"thank")</f>
        <v>thank</v>
      </c>
      <c r="E176" s="3" t="str">
        <f ca="1">IFERROR(__xludf.DUMMYFUNCTION("GOOGLETRANSLATE(B176,""fr"",""en"")"),"We thank our hosts for their hospitality.")</f>
        <v>We thank our hosts for their hospitality.</v>
      </c>
    </row>
    <row r="177" spans="1:5" x14ac:dyDescent="0.25">
      <c r="A177" s="2" t="s">
        <v>530</v>
      </c>
      <c r="B177" s="2" t="s">
        <v>531</v>
      </c>
      <c r="C177" s="3" t="s">
        <v>532</v>
      </c>
      <c r="D177" s="3" t="str">
        <f ca="1">IFERROR(__xludf.DUMMYFUNCTION("GOOGLETRANSLATE(A177,""fr"",""en"")"),"to visit")</f>
        <v>to visit</v>
      </c>
      <c r="E177" s="3" t="str">
        <f ca="1">IFERROR(__xludf.DUMMYFUNCTION("GOOGLETRANSLATE(B177,""fr"",""en"")"),"She visits modern art galleries.")</f>
        <v>She visits modern art galleries.</v>
      </c>
    </row>
    <row r="178" spans="1:5" x14ac:dyDescent="0.25">
      <c r="A178" s="2" t="s">
        <v>533</v>
      </c>
      <c r="B178" s="2" t="s">
        <v>534</v>
      </c>
      <c r="C178" s="3" t="s">
        <v>535</v>
      </c>
      <c r="D178" s="3" t="str">
        <f ca="1">IFERROR(__xludf.DUMMYFUNCTION("GOOGLETRANSLATE(A178,""fr"",""en"")"),"to go up")</f>
        <v>to go up</v>
      </c>
      <c r="E178" s="3" t="str">
        <f ca="1">IFERROR(__xludf.DUMMYFUNCTION("GOOGLETRANSLATE(B178,""fr"",""en"")"),"They climb to the top of the mountain.")</f>
        <v>They climb to the top of the mountain.</v>
      </c>
    </row>
    <row r="179" spans="1:5" x14ac:dyDescent="0.25">
      <c r="A179" s="2" t="s">
        <v>536</v>
      </c>
      <c r="B179" s="2" t="s">
        <v>537</v>
      </c>
      <c r="C179" s="3" t="s">
        <v>538</v>
      </c>
      <c r="D179" s="3" t="str">
        <f ca="1">IFERROR(__xludf.DUMMYFUNCTION("GOOGLETRANSLATE(A179,""fr"",""en"")"),"goodbye")</f>
        <v>goodbye</v>
      </c>
      <c r="E179" s="3" t="str">
        <f ca="1">IFERROR(__xludf.DUMMYFUNCTION("GOOGLETRANSLATE(B179,""fr"",""en"")"),"We review the plan before executing it.")</f>
        <v>We review the plan before executing it.</v>
      </c>
    </row>
    <row r="180" spans="1:5" x14ac:dyDescent="0.25">
      <c r="A180" s="2" t="s">
        <v>539</v>
      </c>
      <c r="B180" s="2" t="s">
        <v>540</v>
      </c>
      <c r="C180" s="3" t="s">
        <v>541</v>
      </c>
      <c r="D180" s="3" t="str">
        <f ca="1">IFERROR(__xludf.DUMMYFUNCTION("GOOGLETRANSLATE(A180,""fr"",""en"")"),"listen")</f>
        <v>listen</v>
      </c>
      <c r="E180" s="3" t="str">
        <f ca="1">IFERROR(__xludf.DUMMYFUNCTION("GOOGLETRANSLATE(B180,""fr"",""en"")"),"She listens carefully to her mentor's advice.")</f>
        <v>She listens carefully to her mentor's advice.</v>
      </c>
    </row>
    <row r="181" spans="1:5" x14ac:dyDescent="0.25">
      <c r="A181" s="2" t="s">
        <v>542</v>
      </c>
      <c r="B181" s="2" t="s">
        <v>543</v>
      </c>
      <c r="C181" s="3" t="s">
        <v>544</v>
      </c>
      <c r="D181" s="3" t="str">
        <f ca="1">IFERROR(__xludf.DUMMYFUNCTION("GOOGLETRANSLATE(A181,""fr"",""en"")"),"to welcome")</f>
        <v>to welcome</v>
      </c>
      <c r="E181" s="3" t="str">
        <f ca="1">IFERROR(__xludf.DUMMYFUNCTION("GOOGLETRANSLATE(B181,""fr"",""en"")"),"They welcome guests with a smile.")</f>
        <v>They welcome guests with a smile.</v>
      </c>
    </row>
    <row r="182" spans="1:5" x14ac:dyDescent="0.25">
      <c r="A182" s="2" t="s">
        <v>545</v>
      </c>
      <c r="B182" s="2" t="s">
        <v>546</v>
      </c>
      <c r="C182" s="3" t="s">
        <v>547</v>
      </c>
      <c r="D182" s="3" t="str">
        <f ca="1">IFERROR(__xludf.DUMMYFUNCTION("GOOGLETRANSLATE(A182,""fr"",""en"")"),"attract")</f>
        <v>attract</v>
      </c>
      <c r="E182" s="3" t="str">
        <f ca="1">IFERROR(__xludf.DUMMYFUNCTION("GOOGLETRANSLATE(B182,""fr"",""en"")"),"We attract talent through our benefits.")</f>
        <v>We attract talent through our benefits.</v>
      </c>
    </row>
    <row r="183" spans="1:5" x14ac:dyDescent="0.25">
      <c r="A183" s="2" t="s">
        <v>548</v>
      </c>
      <c r="B183" s="2" t="s">
        <v>549</v>
      </c>
      <c r="C183" s="3" t="s">
        <v>550</v>
      </c>
      <c r="D183" s="3" t="str">
        <f ca="1">IFERROR(__xludf.DUMMYFUNCTION("GOOGLETRANSLATE(A183,""fr"",""en"")"),"to come back")</f>
        <v>to come back</v>
      </c>
      <c r="E183" s="3" t="str">
        <f ca="1">IFERROR(__xludf.DUMMYFUNCTION("GOOGLETRANSLATE(B183,""fr"",""en"")"),"He always comes home for Christmas.")</f>
        <v>He always comes home for Christmas.</v>
      </c>
    </row>
    <row r="184" spans="1:5" x14ac:dyDescent="0.25">
      <c r="A184" s="2" t="s">
        <v>551</v>
      </c>
      <c r="B184" s="2" t="s">
        <v>552</v>
      </c>
      <c r="C184" s="3" t="s">
        <v>553</v>
      </c>
      <c r="D184" s="3" t="str">
        <f ca="1">IFERROR(__xludf.DUMMYFUNCTION("GOOGLETRANSLATE(A184,""fr"",""en"")"),"to write")</f>
        <v>to write</v>
      </c>
      <c r="E184" s="3" t="str">
        <f ca="1">IFERROR(__xludf.DUMMYFUNCTION("GOOGLETRANSLATE(B184,""fr"",""en"")"),"She writes in her journal every night.")</f>
        <v>She writes in her journal every night.</v>
      </c>
    </row>
    <row r="185" spans="1:5" x14ac:dyDescent="0.25">
      <c r="A185" s="2" t="s">
        <v>554</v>
      </c>
      <c r="B185" s="2" t="s">
        <v>555</v>
      </c>
      <c r="C185" s="3" t="s">
        <v>556</v>
      </c>
      <c r="D185" s="3" t="str">
        <f ca="1">IFERROR(__xludf.DUMMYFUNCTION("GOOGLETRANSLATE(A185,""fr"",""en"")"),"accelerate")</f>
        <v>accelerate</v>
      </c>
      <c r="E185" s="3" t="str">
        <f ca="1">IFERROR(__xludf.DUMMYFUNCTION("GOOGLETRANSLATE(B185,""fr"",""en"")"),"They speed up the pace of work to meet deadlines.")</f>
        <v>They speed up the pace of work to meet deadlines.</v>
      </c>
    </row>
    <row r="186" spans="1:5" x14ac:dyDescent="0.25">
      <c r="A186" s="2" t="s">
        <v>557</v>
      </c>
      <c r="B186" s="2" t="s">
        <v>558</v>
      </c>
      <c r="C186" s="3" t="s">
        <v>559</v>
      </c>
      <c r="D186" s="3" t="str">
        <f ca="1">IFERROR(__xludf.DUMMYFUNCTION("GOOGLETRANSLATE(A186,""fr"",""en"")"),"impose")</f>
        <v>impose</v>
      </c>
      <c r="E186" s="3" t="str">
        <f ca="1">IFERROR(__xludf.DUMMYFUNCTION("GOOGLETRANSLATE(B186,""fr"",""en"")"),"We impose strict rules to ensure safety.")</f>
        <v>We impose strict rules to ensure safety.</v>
      </c>
    </row>
    <row r="187" spans="1:5" x14ac:dyDescent="0.25">
      <c r="A187" s="2" t="s">
        <v>560</v>
      </c>
      <c r="B187" s="2" t="s">
        <v>561</v>
      </c>
      <c r="C187" s="3" t="s">
        <v>562</v>
      </c>
      <c r="D187" s="3" t="str">
        <f ca="1">IFERROR(__xludf.DUMMYFUNCTION("GOOGLETRANSLATE(A187,""fr"",""en"")"),"sell")</f>
        <v>sell</v>
      </c>
      <c r="E187" s="3" t="str">
        <f ca="1">IFERROR(__xludf.DUMMYFUNCTION("GOOGLETRANSLATE(B187,""fr"",""en"")"),"She sells artwork online.")</f>
        <v>She sells artwork online.</v>
      </c>
    </row>
    <row r="188" spans="1:5" x14ac:dyDescent="0.25">
      <c r="A188" s="2" t="s">
        <v>563</v>
      </c>
      <c r="B188" s="2" t="s">
        <v>564</v>
      </c>
      <c r="C188" s="3" t="s">
        <v>565</v>
      </c>
      <c r="D188" s="3" t="str">
        <f ca="1">IFERROR(__xludf.DUMMYFUNCTION("GOOGLETRANSLATE(A188,""fr"",""en"")"),"defend")</f>
        <v>defend</v>
      </c>
      <c r="E188" s="3" t="str">
        <f ca="1">IFERROR(__xludf.DUMMYFUNCTION("GOOGLETRANSLATE(B188,""fr"",""en"")"),"They defend their rights vigorously.")</f>
        <v>They defend their rights vigorously.</v>
      </c>
    </row>
    <row r="189" spans="1:5" x14ac:dyDescent="0.25">
      <c r="A189" s="2" t="s">
        <v>566</v>
      </c>
      <c r="B189" s="2" t="s">
        <v>567</v>
      </c>
      <c r="C189" s="3" t="s">
        <v>568</v>
      </c>
      <c r="D189" s="3" t="str">
        <f ca="1">IFERROR(__xludf.DUMMYFUNCTION("GOOGLETRANSLATE(A189,""fr"",""en"")"),"to resume")</f>
        <v>to resume</v>
      </c>
      <c r="E189" s="3" t="str">
        <f ca="1">IFERROR(__xludf.DUMMYFUNCTION("GOOGLETRANSLATE(B189,""fr"",""en"")"),"We are resuming the project after a break.")</f>
        <v>We are resuming the project after a break.</v>
      </c>
    </row>
    <row r="190" spans="1:5" x14ac:dyDescent="0.25">
      <c r="A190" s="2" t="s">
        <v>569</v>
      </c>
      <c r="B190" s="2" t="s">
        <v>570</v>
      </c>
      <c r="C190" s="3" t="s">
        <v>571</v>
      </c>
      <c r="D190" s="3" t="str">
        <f ca="1">IFERROR(__xludf.DUMMYFUNCTION("GOOGLETRANSLATE(A190,""fr"",""en"")"),"DELETE")</f>
        <v>DELETE</v>
      </c>
      <c r="E190" s="3" t="str">
        <f ca="1">IFERROR(__xludf.DUMMYFUNCTION("GOOGLETRANSLATE(B190,""fr"",""en"")"),"He deletes obsolete files from his computer.")</f>
        <v>He deletes obsolete files from his computer.</v>
      </c>
    </row>
    <row r="191" spans="1:5" x14ac:dyDescent="0.25">
      <c r="A191" s="2" t="s">
        <v>572</v>
      </c>
      <c r="B191" s="2" t="s">
        <v>573</v>
      </c>
      <c r="C191" s="3" t="s">
        <v>574</v>
      </c>
      <c r="D191" s="3" t="str">
        <f ca="1">IFERROR(__xludf.DUMMYFUNCTION("GOOGLETRANSLATE(A191,""fr"",""en"")"),"to bring")</f>
        <v>to bring</v>
      </c>
      <c r="E191" s="3" t="str">
        <f ca="1">IFERROR(__xludf.DUMMYFUNCTION("GOOGLETRANSLATE(B191,""fr"",""en"")"),"She brings homemade cookies to the office.")</f>
        <v>She brings homemade cookies to the office.</v>
      </c>
    </row>
    <row r="192" spans="1:5" x14ac:dyDescent="0.25">
      <c r="A192" s="2" t="s">
        <v>575</v>
      </c>
      <c r="B192" s="2" t="s">
        <v>576</v>
      </c>
      <c r="C192" s="3" t="s">
        <v>577</v>
      </c>
      <c r="D192" s="3" t="str">
        <f ca="1">IFERROR(__xludf.DUMMYFUNCTION("GOOGLETRANSLATE(A192,""fr"",""en"")"),"conclude")</f>
        <v>conclude</v>
      </c>
      <c r="E192" s="3" t="str">
        <f ca="1">IFERROR(__xludf.DUMMYFUNCTION("GOOGLETRANSLATE(B192,""fr"",""en"")"),"We conclude our speech with an inspiring quote.")</f>
        <v>We conclude our speech with an inspiring quote.</v>
      </c>
    </row>
    <row r="193" spans="1:5" x14ac:dyDescent="0.25">
      <c r="A193" s="2" t="s">
        <v>578</v>
      </c>
      <c r="B193" s="2" t="s">
        <v>579</v>
      </c>
      <c r="C193" s="3" t="s">
        <v>580</v>
      </c>
      <c r="D193" s="3" t="str">
        <f ca="1">IFERROR(__xludf.DUMMYFUNCTION("GOOGLETRANSLATE(A193,""fr"",""en"")"),"function")</f>
        <v>function</v>
      </c>
      <c r="E193" s="3" t="str">
        <f ca="1">IFERROR(__xludf.DUMMYFUNCTION("GOOGLETRANSLATE(B193,""fr"",""en"")"),"They work well under pressure.")</f>
        <v>They work well under pressure.</v>
      </c>
    </row>
    <row r="194" spans="1:5" x14ac:dyDescent="0.25">
      <c r="A194" s="2" t="s">
        <v>581</v>
      </c>
      <c r="B194" s="2" t="s">
        <v>582</v>
      </c>
      <c r="C194" s="3" t="s">
        <v>583</v>
      </c>
      <c r="D194" s="3" t="str">
        <f ca="1">IFERROR(__xludf.DUMMYFUNCTION("GOOGLETRANSLATE(A194,""fr"",""en"")"),"to set down")</f>
        <v>to set down</v>
      </c>
      <c r="E194" s="3" t="str">
        <f ca="1">IFERROR(__xludf.DUMMYFUNCTION("GOOGLETRANSLATE(B194,""fr"",""en"")"),"She asks relevant questions during the meeting.")</f>
        <v>She asks relevant questions during the meeting.</v>
      </c>
    </row>
    <row r="195" spans="1:5" x14ac:dyDescent="0.25">
      <c r="A195" s="2" t="s">
        <v>584</v>
      </c>
      <c r="B195" s="2" t="s">
        <v>585</v>
      </c>
      <c r="C195" s="3" t="s">
        <v>586</v>
      </c>
      <c r="D195" s="3" t="str">
        <f ca="1">IFERROR(__xludf.DUMMYFUNCTION("GOOGLETRANSLATE(A195,""fr"",""en"")"),"download")</f>
        <v>download</v>
      </c>
      <c r="E195" s="3" t="str">
        <f ca="1">IFERROR(__xludf.DUMMYFUNCTION("GOOGLETRANSLATE(B195,""fr"",""en"")"),"We are uploading the latest updates.")</f>
        <v>We are uploading the latest updates.</v>
      </c>
    </row>
    <row r="196" spans="1:5" x14ac:dyDescent="0.25">
      <c r="A196" s="2" t="s">
        <v>587</v>
      </c>
      <c r="B196" s="2" t="s">
        <v>588</v>
      </c>
      <c r="C196" s="3" t="s">
        <v>589</v>
      </c>
      <c r="D196" s="3" t="str">
        <f ca="1">IFERROR(__xludf.DUMMYFUNCTION("GOOGLETRANSLATE(A196,""fr"",""en"")"),"count")</f>
        <v>count</v>
      </c>
      <c r="E196" s="3" t="str">
        <f ca="1">IFERROR(__xludf.DUMMYFUNCTION("GOOGLETRANSLATE(B196,""fr"",""en"")"),"They are counting down the days until vacation.")</f>
        <v>They are counting down the days until vacation.</v>
      </c>
    </row>
    <row r="197" spans="1:5" x14ac:dyDescent="0.25">
      <c r="A197" s="2" t="s">
        <v>590</v>
      </c>
      <c r="B197" s="2" t="s">
        <v>591</v>
      </c>
      <c r="C197" s="3" t="s">
        <v>592</v>
      </c>
      <c r="D197" s="3" t="str">
        <f ca="1">IFERROR(__xludf.DUMMYFUNCTION("GOOGLETRANSLATE(A197,""fr"",""en"")"),"cover")</f>
        <v>cover</v>
      </c>
      <c r="E197" s="3" t="str">
        <f ca="1">IFERROR(__xludf.DUMMYFUNCTION("GOOGLETRANSLATE(B197,""fr"",""en"")"),"We are covering the event live.")</f>
        <v>We are covering the event live.</v>
      </c>
    </row>
    <row r="198" spans="1:5" x14ac:dyDescent="0.25">
      <c r="A198" s="2" t="s">
        <v>593</v>
      </c>
      <c r="B198" s="2" t="s">
        <v>594</v>
      </c>
      <c r="C198" s="3" t="s">
        <v>595</v>
      </c>
      <c r="D198" s="3" t="str">
        <f ca="1">IFERROR(__xludf.DUMMYFUNCTION("GOOGLETRANSLATE(A198,""fr"",""en"")"),"access")</f>
        <v>access</v>
      </c>
      <c r="E198" s="3" t="str">
        <f ca="1">IFERROR(__xludf.DUMMYFUNCTION("GOOGLETRANSLATE(B198,""fr"",""en"")"),"She accesses her documents from any device.")</f>
        <v>She accesses her documents from any device.</v>
      </c>
    </row>
    <row r="199" spans="1:5" x14ac:dyDescent="0.25">
      <c r="A199" s="2" t="s">
        <v>596</v>
      </c>
      <c r="B199" s="2" t="s">
        <v>597</v>
      </c>
      <c r="C199" s="3" t="s">
        <v>598</v>
      </c>
      <c r="D199" s="3" t="str">
        <f ca="1">IFERROR(__xludf.DUMMYFUNCTION("GOOGLETRANSLATE(A199,""fr"",""en"")"),"acquire")</f>
        <v>acquire</v>
      </c>
      <c r="E199" s="3" t="str">
        <f ca="1">IFERROR(__xludf.DUMMYFUNCTION("GOOGLETRANSLATE(B199,""fr"",""en"")"),"They acquire new skills through training.")</f>
        <v>They acquire new skills through training.</v>
      </c>
    </row>
    <row r="200" spans="1:5" x14ac:dyDescent="0.25">
      <c r="A200" s="2" t="s">
        <v>599</v>
      </c>
      <c r="B200" s="2" t="s">
        <v>600</v>
      </c>
      <c r="C200" s="3" t="s">
        <v>601</v>
      </c>
      <c r="D200" s="3" t="str">
        <f ca="1">IFERROR(__xludf.DUMMYFUNCTION("GOOGLETRANSLATE(A200,""fr"",""en"")"),"consider")</f>
        <v>consider</v>
      </c>
      <c r="E200" s="3" t="str">
        <f ca="1">IFERROR(__xludf.DUMMYFUNCTION("GOOGLETRANSLATE(B200,""fr"",""en"")"),"We consider all options before making a decision.")</f>
        <v>We consider all options before making a decision.</v>
      </c>
    </row>
    <row r="201" spans="1:5" x14ac:dyDescent="0.25">
      <c r="A201" s="2" t="s">
        <v>602</v>
      </c>
      <c r="B201" s="2" t="s">
        <v>603</v>
      </c>
      <c r="C201" s="3" t="s">
        <v>604</v>
      </c>
      <c r="D201" s="3" t="str">
        <f ca="1">IFERROR(__xludf.DUMMYFUNCTION("GOOGLETRANSLATE(A201,""fr"",""en"")"),"select")</f>
        <v>select</v>
      </c>
      <c r="E201" s="3" t="str">
        <f ca="1">IFERROR(__xludf.DUMMYFUNCTION("GOOGLETRANSLATE(B201,""fr"",""en"")"),"She always selects the best ingredients for her recipes.")</f>
        <v>She always selects the best ingredients for her recipes.</v>
      </c>
    </row>
    <row r="202" spans="1:5" x14ac:dyDescent="0.25">
      <c r="A202" s="2" t="s">
        <v>605</v>
      </c>
      <c r="B202" s="2" t="s">
        <v>606</v>
      </c>
      <c r="C202" s="3" t="s">
        <v>607</v>
      </c>
      <c r="D202" s="3" t="str">
        <f ca="1">IFERROR(__xludf.DUMMYFUNCTION("GOOGLETRANSLATE(A202,""fr"",""en"")"),"combat")</f>
        <v>combat</v>
      </c>
      <c r="E202" s="3" t="str">
        <f ca="1">IFERROR(__xludf.DUMMYFUNCTION("GOOGLETRANSLATE(B202,""fr"",""en"")"),"We fight together for a just cause.")</f>
        <v>We fight together for a just cause.</v>
      </c>
    </row>
    <row r="203" spans="1:5" x14ac:dyDescent="0.25">
      <c r="A203" s="2" t="s">
        <v>608</v>
      </c>
      <c r="B203" s="2" t="s">
        <v>609</v>
      </c>
      <c r="C203" s="3" t="s">
        <v>610</v>
      </c>
      <c r="D203" s="3" t="str">
        <f ca="1">IFERROR(__xludf.DUMMYFUNCTION("GOOGLETRANSLATE(A203,""fr"",""en"")"),"contact")</f>
        <v>contact</v>
      </c>
      <c r="E203" s="3" t="str">
        <f ca="1">IFERROR(__xludf.DUMMYFUNCTION("GOOGLETRANSLATE(B203,""fr"",""en"")"),"He contacts his clients by phone.")</f>
        <v>He contacts his clients by phone.</v>
      </c>
    </row>
    <row r="204" spans="1:5" x14ac:dyDescent="0.25">
      <c r="A204" s="2" t="s">
        <v>611</v>
      </c>
      <c r="B204" s="2" t="s">
        <v>612</v>
      </c>
      <c r="C204" s="3" t="s">
        <v>613</v>
      </c>
      <c r="D204" s="3" t="str">
        <f ca="1">IFERROR(__xludf.DUMMYFUNCTION("GOOGLETRANSLATE(A204,""fr"",""en"")"),"place")</f>
        <v>place</v>
      </c>
      <c r="E204" s="3" t="str">
        <f ca="1">IFERROR(__xludf.DUMMYFUNCTION("GOOGLETRANSLATE(B204,""fr"",""en"")"),"She places the books on the shelf.")</f>
        <v>She places the books on the shelf.</v>
      </c>
    </row>
    <row r="205" spans="1:5" x14ac:dyDescent="0.25">
      <c r="A205" s="2" t="s">
        <v>614</v>
      </c>
      <c r="B205" s="2" t="s">
        <v>615</v>
      </c>
      <c r="C205" s="3" t="s">
        <v>616</v>
      </c>
      <c r="D205" s="3" t="str">
        <f ca="1">IFERROR(__xludf.DUMMYFUNCTION("GOOGLETRANSLATE(A205,""fr"",""en"")"),"to return")</f>
        <v>to return</v>
      </c>
      <c r="E205" s="3" t="str">
        <f ca="1">IFERROR(__xludf.DUMMYFUNCTION("GOOGLETRANSLATE(B205,""fr"",""en"")"),"They come home after a long day.")</f>
        <v>They come home after a long day.</v>
      </c>
    </row>
    <row r="206" spans="1:5" x14ac:dyDescent="0.25">
      <c r="A206" s="2" t="s">
        <v>617</v>
      </c>
      <c r="B206" s="2" t="s">
        <v>618</v>
      </c>
      <c r="C206" s="3" t="s">
        <v>619</v>
      </c>
      <c r="D206" s="3" t="str">
        <f ca="1">IFERROR(__xludf.DUMMYFUNCTION("GOOGLETRANSLATE(A206,""fr"",""en"")"),"calculate")</f>
        <v>calculate</v>
      </c>
      <c r="E206" s="3" t="str">
        <f ca="1">IFERROR(__xludf.DUMMYFUNCTION("GOOGLETRANSLATE(B206,""fr"",""en"")"),"We calculate the costs of the project.")</f>
        <v>We calculate the costs of the project.</v>
      </c>
    </row>
    <row r="207" spans="1:5" x14ac:dyDescent="0.25">
      <c r="A207" s="2" t="s">
        <v>620</v>
      </c>
      <c r="B207" s="2" t="s">
        <v>621</v>
      </c>
      <c r="C207" s="3" t="s">
        <v>622</v>
      </c>
      <c r="D207" s="3" t="str">
        <f ca="1">IFERROR(__xludf.DUMMYFUNCTION("GOOGLETRANSLATE(A207,""fr"",""en"")"),"install")</f>
        <v>install</v>
      </c>
      <c r="E207" s="3" t="str">
        <f ca="1">IFERROR(__xludf.DUMMYFUNCTION("GOOGLETRANSLATE(B207,""fr"",""en"")"),"She installs the new software on her computer.")</f>
        <v>She installs the new software on her computer.</v>
      </c>
    </row>
    <row r="208" spans="1:5" x14ac:dyDescent="0.25">
      <c r="A208" s="2" t="s">
        <v>623</v>
      </c>
      <c r="B208" s="2" t="s">
        <v>624</v>
      </c>
      <c r="C208" s="3" t="s">
        <v>625</v>
      </c>
      <c r="D208" s="3" t="str">
        <f ca="1">IFERROR(__xludf.DUMMYFUNCTION("GOOGLETRANSLATE(A208,""fr"",""en"")"),"adapt")</f>
        <v>adapt</v>
      </c>
      <c r="E208" s="3" t="str">
        <f ca="1">IFERROR(__xludf.DUMMYFUNCTION("GOOGLETRANSLATE(B208,""fr"",""en"")"),"They adapt their strategies based on the results.")</f>
        <v>They adapt their strategies based on the results.</v>
      </c>
    </row>
    <row r="209" spans="1:5" x14ac:dyDescent="0.25">
      <c r="A209" s="2" t="s">
        <v>626</v>
      </c>
      <c r="B209" s="2" t="s">
        <v>627</v>
      </c>
      <c r="C209" s="3" t="s">
        <v>628</v>
      </c>
      <c r="D209" s="3" t="str">
        <f ca="1">IFERROR(__xludf.DUMMYFUNCTION("GOOGLETRANSLATE(A209,""fr"",""en"")"),"to input")</f>
        <v>to input</v>
      </c>
      <c r="E209" s="3" t="str">
        <f ca="1">IFERROR(__xludf.DUMMYFUNCTION("GOOGLETRANSLATE(B209,""fr"",""en"")"),"We seize every opportunity that presents itself.")</f>
        <v>We seize every opportunity that presents itself.</v>
      </c>
    </row>
    <row r="210" spans="1:5" x14ac:dyDescent="0.25">
      <c r="A210" s="2" t="s">
        <v>629</v>
      </c>
      <c r="B210" s="2" t="s">
        <v>630</v>
      </c>
      <c r="C210" s="3" t="s">
        <v>631</v>
      </c>
      <c r="D210" s="3" t="str">
        <f ca="1">IFERROR(__xludf.DUMMYFUNCTION("GOOGLETRANSLATE(A210,""fr"",""en"")"),"to try")</f>
        <v>to try</v>
      </c>
      <c r="E210" s="3" t="str">
        <f ca="1">IFERROR(__xludf.DUMMYFUNCTION("GOOGLETRANSLATE(B210,""fr"",""en"")"),"She's trying a new recipe for dinner.")</f>
        <v>She's trying a new recipe for dinner.</v>
      </c>
    </row>
    <row r="211" spans="1:5" x14ac:dyDescent="0.25">
      <c r="A211" s="2" t="s">
        <v>632</v>
      </c>
      <c r="B211" s="2" t="s">
        <v>633</v>
      </c>
      <c r="C211" s="3" t="s">
        <v>634</v>
      </c>
      <c r="D211" s="3" t="str">
        <f ca="1">IFERROR(__xludf.DUMMYFUNCTION("GOOGLETRANSLATE(A211,""fr"",""en"")"),"invest")</f>
        <v>invest</v>
      </c>
      <c r="E211" s="3" t="str">
        <f ca="1">IFERROR(__xludf.DUMMYFUNCTION("GOOGLETRANSLATE(B211,""fr"",""en"")"),"They invest in innovative technologies.")</f>
        <v>They invest in innovative technologies.</v>
      </c>
    </row>
    <row r="212" spans="1:5" x14ac:dyDescent="0.25">
      <c r="A212" s="2" t="s">
        <v>635</v>
      </c>
      <c r="B212" s="2" t="s">
        <v>636</v>
      </c>
      <c r="C212" s="3" t="s">
        <v>637</v>
      </c>
      <c r="D212" s="3" t="str">
        <f ca="1">IFERROR(__xludf.DUMMYFUNCTION("GOOGLETRANSLATE(A212,""fr"",""en"")"),"confirm")</f>
        <v>confirm</v>
      </c>
      <c r="E212" s="3" t="str">
        <f ca="1">IFERROR(__xludf.DUMMYFUNCTION("GOOGLETRANSLATE(B212,""fr"",""en"")"),"We confirm our participation in the event.")</f>
        <v>We confirm our participation in the event.</v>
      </c>
    </row>
    <row r="213" spans="1:5" x14ac:dyDescent="0.25">
      <c r="A213" s="2" t="s">
        <v>638</v>
      </c>
      <c r="B213" s="2" t="s">
        <v>639</v>
      </c>
      <c r="C213" s="3" t="s">
        <v>640</v>
      </c>
      <c r="D213" s="3" t="str">
        <f ca="1">IFERROR(__xludf.DUMMYFUNCTION("GOOGLETRANSLATE(A213,""fr"",""en"")"),"join")</f>
        <v>join</v>
      </c>
      <c r="E213" s="3" t="str">
        <f ca="1">IFERROR(__xludf.DUMMYFUNCTION("GOOGLETRANSLATE(B213,""fr"",""en"")"),"She attached a photo to her email.")</f>
        <v>She attached a photo to her email.</v>
      </c>
    </row>
    <row r="214" spans="1:5" x14ac:dyDescent="0.25">
      <c r="A214" s="2" t="s">
        <v>641</v>
      </c>
      <c r="B214" s="2" t="s">
        <v>642</v>
      </c>
      <c r="C214" s="3" t="s">
        <v>643</v>
      </c>
      <c r="D214" s="3" t="str">
        <f ca="1">IFERROR(__xludf.DUMMYFUNCTION("GOOGLETRANSLATE(A214,""fr"",""en"")"),"restrict")</f>
        <v>restrict</v>
      </c>
      <c r="E214" s="3" t="str">
        <f ca="1">IFERROR(__xludf.DUMMYFUNCTION("GOOGLETRANSLATE(B214,""fr"",""en"")"),"They limit the use of plastic in their business.")</f>
        <v>They limit the use of plastic in their business.</v>
      </c>
    </row>
    <row r="215" spans="1:5" x14ac:dyDescent="0.25">
      <c r="A215" s="2" t="s">
        <v>644</v>
      </c>
      <c r="B215" s="2" t="s">
        <v>645</v>
      </c>
      <c r="C215" s="3" t="s">
        <v>646</v>
      </c>
      <c r="D215" s="3" t="str">
        <f ca="1">IFERROR(__xludf.DUMMYFUNCTION("GOOGLETRANSLATE(A215,""fr"",""en"")"),"deposit")</f>
        <v>deposit</v>
      </c>
      <c r="E215" s="3" t="str">
        <f ca="1">IFERROR(__xludf.DUMMYFUNCTION("GOOGLETRANSLATE(B215,""fr"",""en"")"),"We submit the documents to reception.")</f>
        <v>We submit the documents to reception.</v>
      </c>
    </row>
    <row r="216" spans="1:5" x14ac:dyDescent="0.25">
      <c r="A216" s="2" t="s">
        <v>647</v>
      </c>
      <c r="B216" s="2" t="s">
        <v>648</v>
      </c>
      <c r="C216" s="3" t="s">
        <v>649</v>
      </c>
      <c r="D216" s="3" t="str">
        <f ca="1">IFERROR(__xludf.DUMMYFUNCTION("GOOGLETRANSLATE(A216,""fr"",""en"")"),"to put back")</f>
        <v>to put back</v>
      </c>
      <c r="E216" s="3" t="str">
        <f ca="1">IFERROR(__xludf.DUMMYFUNCTION("GOOGLETRANSLATE(B216,""fr"",""en"")"),"She hands the report to her supervisor.")</f>
        <v>She hands the report to her supervisor.</v>
      </c>
    </row>
    <row r="217" spans="1:5" x14ac:dyDescent="0.25">
      <c r="A217" s="2" t="s">
        <v>650</v>
      </c>
      <c r="B217" s="2" t="s">
        <v>651</v>
      </c>
      <c r="C217" s="3" t="s">
        <v>652</v>
      </c>
      <c r="D217" s="3" t="str">
        <f ca="1">IFERROR(__xludf.DUMMYFUNCTION("GOOGLETRANSLATE(A217,""fr"",""en"")"),"drink")</f>
        <v>drink</v>
      </c>
      <c r="E217" s="3" t="str">
        <f ca="1">IFERROR(__xludf.DUMMYFUNCTION("GOOGLETRANSLATE(B217,""fr"",""en"")"),"They drink coffee every morning.")</f>
        <v>They drink coffee every morning.</v>
      </c>
    </row>
    <row r="218" spans="1:5" x14ac:dyDescent="0.25">
      <c r="A218" s="2" t="s">
        <v>653</v>
      </c>
      <c r="B218" s="2" t="s">
        <v>654</v>
      </c>
      <c r="C218" s="3" t="s">
        <v>655</v>
      </c>
      <c r="D218" s="3" t="str">
        <f ca="1">IFERROR(__xludf.DUMMYFUNCTION("GOOGLETRANSLATE(A218,""fr"",""en"")"),"feel")</f>
        <v>feel</v>
      </c>
      <c r="E218" s="3" t="str">
        <f ca="1">IFERROR(__xludf.DUMMYFUNCTION("GOOGLETRANSLATE(B218,""fr"",""en"")"),"We feel the freshness of the sea breeze.")</f>
        <v>We feel the freshness of the sea breeze.</v>
      </c>
    </row>
    <row r="219" spans="1:5" x14ac:dyDescent="0.25">
      <c r="A219" s="2" t="s">
        <v>656</v>
      </c>
      <c r="B219" s="2" t="s">
        <v>657</v>
      </c>
      <c r="C219" s="3" t="s">
        <v>658</v>
      </c>
      <c r="D219" s="3" t="str">
        <f ca="1">IFERROR(__xludf.DUMMYFUNCTION("GOOGLETRANSLATE(A219,""fr"",""en"")"),"cost")</f>
        <v>cost</v>
      </c>
      <c r="E219" s="3" t="str">
        <f ca="1">IFERROR(__xludf.DUMMYFUNCTION("GOOGLETRANSLATE(B219,""fr"",""en"")"),"She asks how much it costs.")</f>
        <v>She asks how much it costs.</v>
      </c>
    </row>
    <row r="220" spans="1:5" x14ac:dyDescent="0.25">
      <c r="A220" s="2" t="s">
        <v>659</v>
      </c>
      <c r="B220" s="2" t="s">
        <v>660</v>
      </c>
      <c r="C220" s="3" t="s">
        <v>661</v>
      </c>
      <c r="D220" s="3" t="str">
        <f ca="1">IFERROR(__xludf.DUMMYFUNCTION("GOOGLETRANSLATE(A220,""fr"",""en"")"),"transfer")</f>
        <v>transfer</v>
      </c>
      <c r="E220" s="3" t="str">
        <f ca="1">IFERROR(__xludf.DUMMYFUNCTION("GOOGLETRANSLATE(B220,""fr"",""en"")"),"They transfer funds to their savings account.")</f>
        <v>They transfer funds to their savings account.</v>
      </c>
    </row>
    <row r="221" spans="1:5" x14ac:dyDescent="0.25">
      <c r="A221" s="2" t="s">
        <v>662</v>
      </c>
      <c r="B221" s="2" t="s">
        <v>663</v>
      </c>
      <c r="C221" s="3" t="s">
        <v>664</v>
      </c>
      <c r="D221" s="3" t="str">
        <f ca="1">IFERROR(__xludf.DUMMYFUNCTION("GOOGLETRANSLATE(A221,""fr"",""en"")"),"represent")</f>
        <v>represent</v>
      </c>
      <c r="E221" s="3" t="str">
        <f ca="1">IFERROR(__xludf.DUMMYFUNCTION("GOOGLETRANSLATE(B221,""fr"",""en"")"),"We represent our company at the conference.")</f>
        <v>We represent our company at the conference.</v>
      </c>
    </row>
    <row r="222" spans="1:5" x14ac:dyDescent="0.25">
      <c r="A222" s="2" t="s">
        <v>665</v>
      </c>
      <c r="B222" s="2" t="s">
        <v>666</v>
      </c>
      <c r="C222" s="3" t="s">
        <v>667</v>
      </c>
      <c r="D222" s="3" t="str">
        <f ca="1">IFERROR(__xludf.DUMMYFUNCTION("GOOGLETRANSLATE(A222,""fr"",""en"")"),"contribute")</f>
        <v>contribute</v>
      </c>
      <c r="E222" s="3" t="str">
        <f ca="1">IFERROR(__xludf.DUMMYFUNCTION("GOOGLETRANSLATE(B222,""fr"",""en"")"),"She actively contributes to the research project.")</f>
        <v>She actively contributes to the research project.</v>
      </c>
    </row>
    <row r="223" spans="1:5" x14ac:dyDescent="0.25">
      <c r="A223" s="2" t="s">
        <v>668</v>
      </c>
      <c r="B223" s="2" t="s">
        <v>669</v>
      </c>
      <c r="C223" s="3" t="s">
        <v>670</v>
      </c>
      <c r="D223" s="3" t="str">
        <f ca="1">IFERROR(__xludf.DUMMYFUNCTION("GOOGLETRANSLATE(A223,""fr"",""en"")"),"join")</f>
        <v>join</v>
      </c>
      <c r="E223" s="3" t="str">
        <f ca="1">IFERROR(__xludf.DUMMYFUNCTION("GOOGLETRANSLATE(B223,""fr"",""en"")"),"They join the book club.")</f>
        <v>They join the book club.</v>
      </c>
    </row>
    <row r="224" spans="1:5" x14ac:dyDescent="0.25">
      <c r="A224" s="2" t="s">
        <v>671</v>
      </c>
      <c r="B224" s="2" t="s">
        <v>672</v>
      </c>
      <c r="C224" s="3" t="s">
        <v>673</v>
      </c>
      <c r="D224" s="3" t="str">
        <f ca="1">IFERROR(__xludf.DUMMYFUNCTION("GOOGLETRANSLATE(A224,""fr"",""en"")"),"acquit")</f>
        <v>acquit</v>
      </c>
      <c r="E224" s="3" t="str">
        <f ca="1">IFERROR(__xludf.DUMMYFUNCTION("GOOGLETRANSLATE(B224,""fr"",""en"")"),"We pay our debts on time.")</f>
        <v>We pay our debts on time.</v>
      </c>
    </row>
    <row r="225" spans="1:5" x14ac:dyDescent="0.25">
      <c r="A225" s="2" t="s">
        <v>674</v>
      </c>
      <c r="B225" s="2" t="s">
        <v>675</v>
      </c>
      <c r="C225" s="3" t="s">
        <v>676</v>
      </c>
      <c r="D225" s="3" t="str">
        <f ca="1">IFERROR(__xludf.DUMMYFUNCTION("GOOGLETRANSLATE(A225,""fr"",""en"")"),"decrease")</f>
        <v>decrease</v>
      </c>
      <c r="E225" s="3" t="str">
        <f ca="1">IFERROR(__xludf.DUMMYFUNCTION("GOOGLETRANSLATE(B225,""fr"",""en"")"),"She reduces her sugar consumption.")</f>
        <v>She reduces her sugar consumption.</v>
      </c>
    </row>
    <row r="226" spans="1:5" x14ac:dyDescent="0.25">
      <c r="A226" s="2" t="s">
        <v>677</v>
      </c>
      <c r="B226" s="2" t="s">
        <v>678</v>
      </c>
      <c r="C226" s="3" t="s">
        <v>679</v>
      </c>
      <c r="D226" s="3" t="str">
        <f ca="1">IFERROR(__xludf.DUMMYFUNCTION("GOOGLETRANSLATE(A226,""fr"",""en"")"),"expand")</f>
        <v>expand</v>
      </c>
      <c r="E226" s="3" t="str">
        <f ca="1">IFERROR(__xludf.DUMMYFUNCTION("GOOGLETRANSLATE(B226,""fr"",""en"")"),"They are expanding their product range.")</f>
        <v>They are expanding their product range.</v>
      </c>
    </row>
    <row r="227" spans="1:5" x14ac:dyDescent="0.25">
      <c r="A227" s="2" t="s">
        <v>680</v>
      </c>
      <c r="B227" s="2" t="s">
        <v>681</v>
      </c>
      <c r="C227" s="3" t="s">
        <v>682</v>
      </c>
      <c r="D227" s="3" t="str">
        <f ca="1">IFERROR(__xludf.DUMMYFUNCTION("GOOGLETRANSLATE(A227,""fr"",""en"")"),"discuss")</f>
        <v>discuss</v>
      </c>
      <c r="E227" s="3" t="str">
        <f ca="1">IFERROR(__xludf.DUMMYFUNCTION("GOOGLETRANSLATE(B227,""fr"",""en"")"),"We discuss plans for the weekend.")</f>
        <v>We discuss plans for the weekend.</v>
      </c>
    </row>
    <row r="228" spans="1:5" x14ac:dyDescent="0.25">
      <c r="A228" s="2" t="s">
        <v>683</v>
      </c>
      <c r="B228" s="2" t="s">
        <v>684</v>
      </c>
      <c r="C228" s="3" t="s">
        <v>685</v>
      </c>
      <c r="D228" s="3" t="str">
        <f ca="1">IFERROR(__xludf.DUMMYFUNCTION("GOOGLETRANSLATE(A228,""fr"",""en"")"),"to dispose of")</f>
        <v>to dispose of</v>
      </c>
      <c r="E228" s="3" t="str">
        <f ca="1">IFERROR(__xludf.DUMMYFUNCTION("GOOGLETRANSLATE(B228,""fr"",""en"")"),"She arranges the chairs in a circle for the meeting.")</f>
        <v>She arranges the chairs in a circle for the meeting.</v>
      </c>
    </row>
    <row r="229" spans="1:5" x14ac:dyDescent="0.25">
      <c r="A229" s="2" t="s">
        <v>686</v>
      </c>
      <c r="B229" s="2" t="s">
        <v>687</v>
      </c>
      <c r="C229" s="3" t="s">
        <v>688</v>
      </c>
      <c r="D229" s="3" t="str">
        <f ca="1">IFERROR(__xludf.DUMMYFUNCTION("GOOGLETRANSLATE(A229,""fr"",""en"")"),"accomplish")</f>
        <v>accomplish</v>
      </c>
      <c r="E229" s="3" t="str">
        <f ca="1">IFERROR(__xludf.DUMMYFUNCTION("GOOGLETRANSLATE(B229,""fr"",""en"")"),"They perform all their tasks diligently.")</f>
        <v>They perform all their tasks diligently.</v>
      </c>
    </row>
    <row r="230" spans="1:5" x14ac:dyDescent="0.25">
      <c r="A230" s="2" t="s">
        <v>689</v>
      </c>
      <c r="B230" s="2" t="s">
        <v>690</v>
      </c>
      <c r="C230" s="3" t="s">
        <v>691</v>
      </c>
      <c r="D230" s="3" t="str">
        <f ca="1">IFERROR(__xludf.DUMMYFUNCTION("GOOGLETRANSLATE(A230,""fr"",""en"")"),"to manufacture")</f>
        <v>to manufacture</v>
      </c>
      <c r="E230" s="3" t="str">
        <f ca="1">IFERROR(__xludf.DUMMYFUNCTION("GOOGLETRANSLATE(B230,""fr"",""en"")"),"We make wooden toys.")</f>
        <v>We make wooden toys.</v>
      </c>
    </row>
    <row r="231" spans="1:5" x14ac:dyDescent="0.25">
      <c r="A231" s="2" t="s">
        <v>692</v>
      </c>
      <c r="B231" s="2" t="s">
        <v>693</v>
      </c>
      <c r="C231" s="3" t="s">
        <v>694</v>
      </c>
      <c r="D231" s="3" t="str">
        <f ca="1">IFERROR(__xludf.DUMMYFUNCTION("GOOGLETRANSLATE(A231,""fr"",""en"")"),"to drive")</f>
        <v>to drive</v>
      </c>
      <c r="E231" s="3" t="str">
        <f ca="1">IFERROR(__xludf.DUMMYFUNCTION("GOOGLETRANSLATE(B231,""fr"",""en"")"),"She drives carefully in the city.")</f>
        <v>She drives carefully in the city.</v>
      </c>
    </row>
    <row r="232" spans="1:5" x14ac:dyDescent="0.25">
      <c r="A232" s="2" t="s">
        <v>695</v>
      </c>
      <c r="B232" s="2" t="s">
        <v>696</v>
      </c>
      <c r="C232" s="3" t="s">
        <v>697</v>
      </c>
      <c r="D232" s="3" t="str">
        <f ca="1">IFERROR(__xludf.DUMMYFUNCTION("GOOGLETRANSLATE(A232,""fr"",""en"")"),"to end")</f>
        <v>to end</v>
      </c>
      <c r="E232" s="3" t="str">
        <f ca="1">IFERROR(__xludf.DUMMYFUNCTION("GOOGLETRANSLATE(B232,""fr"",""en"")"),"They complete the project before the deadline.")</f>
        <v>They complete the project before the deadline.</v>
      </c>
    </row>
    <row r="233" spans="1:5" x14ac:dyDescent="0.25">
      <c r="A233" s="2" t="s">
        <v>698</v>
      </c>
      <c r="B233" s="2" t="s">
        <v>699</v>
      </c>
      <c r="C233" s="3" t="s">
        <v>700</v>
      </c>
      <c r="D233" s="3" t="str">
        <f ca="1">IFERROR(__xludf.DUMMYFUNCTION("GOOGLETRANSLATE(A233,""fr"",""en"")"),"report")</f>
        <v>report</v>
      </c>
      <c r="E233" s="3" t="str">
        <f ca="1">IFERROR(__xludf.DUMMYFUNCTION("GOOGLETRANSLATE(B233,""fr"",""en"")"),"We are reporting a technical issue to support.")</f>
        <v>We are reporting a technical issue to support.</v>
      </c>
    </row>
    <row r="234" spans="1:5" x14ac:dyDescent="0.25">
      <c r="A234" s="2" t="s">
        <v>701</v>
      </c>
      <c r="B234" s="2" t="s">
        <v>702</v>
      </c>
      <c r="C234" s="3" t="s">
        <v>703</v>
      </c>
      <c r="D234" s="3" t="str">
        <f ca="1">IFERROR(__xludf.DUMMYFUNCTION("GOOGLETRANSLATE(A234,""fr"",""en"")"),"extend")</f>
        <v>extend</v>
      </c>
      <c r="E234" s="3" t="str">
        <f ca="1">IFERROR(__xludf.DUMMYFUNCTION("GOOGLETRANSLATE(B234,""fr"",""en"")"),"She spreads the tablecloth on the table.")</f>
        <v>She spreads the tablecloth on the table.</v>
      </c>
    </row>
    <row r="235" spans="1:5" x14ac:dyDescent="0.25">
      <c r="A235" s="2" t="s">
        <v>704</v>
      </c>
      <c r="B235" s="2" t="s">
        <v>705</v>
      </c>
      <c r="C235" s="3" t="s">
        <v>706</v>
      </c>
      <c r="D235" s="3" t="str">
        <f ca="1">IFERROR(__xludf.DUMMYFUNCTION("GOOGLETRANSLATE(A235,""fr"",""en"")"),"vote")</f>
        <v>vote</v>
      </c>
      <c r="E235" s="3" t="str">
        <f ca="1">IFERROR(__xludf.DUMMYFUNCTION("GOOGLETRANSLATE(B235,""fr"",""en"")"),"They vote for the new president.")</f>
        <v>They vote for the new president.</v>
      </c>
    </row>
    <row r="236" spans="1:5" x14ac:dyDescent="0.25">
      <c r="A236" s="2" t="s">
        <v>707</v>
      </c>
      <c r="B236" s="2" t="s">
        <v>708</v>
      </c>
      <c r="C236" s="3" t="s">
        <v>709</v>
      </c>
      <c r="D236" s="3" t="str">
        <f ca="1">IFERROR(__xludf.DUMMYFUNCTION("GOOGLETRANSLATE(A236,""fr"",""en"")"),"complete")</f>
        <v>complete</v>
      </c>
      <c r="E236" s="3" t="str">
        <f ca="1">IFERROR(__xludf.DUMMYFUNCTION("GOOGLETRANSLATE(B236,""fr"",""en"")"),"We complete the online form.")</f>
        <v>We complete the online form.</v>
      </c>
    </row>
    <row r="237" spans="1:5" x14ac:dyDescent="0.25">
      <c r="A237" s="2" t="s">
        <v>710</v>
      </c>
      <c r="B237" s="2" t="s">
        <v>711</v>
      </c>
      <c r="C237" s="3" t="s">
        <v>712</v>
      </c>
      <c r="D237" s="3" t="str">
        <f ca="1">IFERROR(__xludf.DUMMYFUNCTION("GOOGLETRANSLATE(A237,""fr"",""en"")"),"to remove")</f>
        <v>to remove</v>
      </c>
      <c r="E237" s="3" t="str">
        <f ca="1">IFERROR(__xludf.DUMMYFUNCTION("GOOGLETRANSLATE(B237,""fr"",""en"")"),"It removes dust from furniture.")</f>
        <v>It removes dust from furniture.</v>
      </c>
    </row>
    <row r="238" spans="1:5" x14ac:dyDescent="0.25">
      <c r="A238" s="2" t="s">
        <v>713</v>
      </c>
      <c r="B238" s="2" t="s">
        <v>714</v>
      </c>
      <c r="C238" s="3" t="s">
        <v>715</v>
      </c>
      <c r="D238" s="3" t="str">
        <f ca="1">IFERROR(__xludf.DUMMYFUNCTION("GOOGLETRANSLATE(A238,""fr"",""en"")"),"include")</f>
        <v>include</v>
      </c>
      <c r="E238" s="3" t="str">
        <f ca="1">IFERROR(__xludf.DUMMYFUNCTION("GOOGLETRANSLATE(B238,""fr"",""en"")"),"They always behave in a professional manner.")</f>
        <v>They always behave in a professional manner.</v>
      </c>
    </row>
    <row r="239" spans="1:5" x14ac:dyDescent="0.25">
      <c r="A239" s="2" t="s">
        <v>716</v>
      </c>
      <c r="B239" s="2" t="s">
        <v>717</v>
      </c>
      <c r="C239" s="3" t="s">
        <v>718</v>
      </c>
      <c r="D239" s="3" t="str">
        <f ca="1">IFERROR(__xludf.DUMMYFUNCTION("GOOGLETRANSLATE(A239,""fr"",""en"")"),"enjoy")</f>
        <v>enjoy</v>
      </c>
      <c r="E239" s="3" t="str">
        <f ca="1">IFERROR(__xludf.DUMMYFUNCTION("GOOGLETRANSLATE(B239,""fr"",""en"")"),"We take advantage of the good weather to go for a walk.")</f>
        <v>We take advantage of the good weather to go for a walk.</v>
      </c>
    </row>
    <row r="240" spans="1:5" x14ac:dyDescent="0.25">
      <c r="A240" s="2" t="s">
        <v>719</v>
      </c>
      <c r="B240" s="2" t="s">
        <v>720</v>
      </c>
      <c r="C240" s="3" t="s">
        <v>721</v>
      </c>
      <c r="D240" s="3" t="str">
        <f ca="1">IFERROR(__xludf.DUMMYFUNCTION("GOOGLETRANSLATE(A240,""fr"",""en"")"),"forget")</f>
        <v>forget</v>
      </c>
      <c r="E240" s="3" t="str">
        <f ca="1">IFERROR(__xludf.DUMMYFUNCTION("GOOGLETRANSLATE(B240,""fr"",""en"")"),"She often forgets her keys.")</f>
        <v>She often forgets her keys.</v>
      </c>
    </row>
    <row r="241" spans="1:5" x14ac:dyDescent="0.25">
      <c r="A241" s="2" t="s">
        <v>722</v>
      </c>
      <c r="B241" s="2" t="s">
        <v>723</v>
      </c>
      <c r="C241" s="3" t="s">
        <v>724</v>
      </c>
      <c r="D241" s="3" t="str">
        <f ca="1">IFERROR(__xludf.DUMMYFUNCTION("GOOGLETRANSLATE(A241,""fr"",""en"")"),"to research")</f>
        <v>to research</v>
      </c>
      <c r="E241" s="3" t="str">
        <f ca="1">IFERROR(__xludf.DUMMYFUNCTION("GOOGLETRANSLATE(B241,""fr"",""en"")"),"They search for information on the Internet.")</f>
        <v>They search for information on the Internet.</v>
      </c>
    </row>
    <row r="242" spans="1:5" x14ac:dyDescent="0.25">
      <c r="A242" s="2" t="s">
        <v>725</v>
      </c>
      <c r="B242" s="2" t="s">
        <v>726</v>
      </c>
      <c r="C242" s="3" t="s">
        <v>727</v>
      </c>
      <c r="D242" s="3" t="str">
        <f ca="1">IFERROR(__xludf.DUMMYFUNCTION("GOOGLETRANSLATE(A242,""fr"",""en"")"),"move")</f>
        <v>move</v>
      </c>
      <c r="E242" s="3" t="str">
        <f ca="1">IFERROR(__xludf.DUMMYFUNCTION("GOOGLETRANSLATE(B242,""fr"",""en"")"),"We move furniture to make space.")</f>
        <v>We move furniture to make space.</v>
      </c>
    </row>
    <row r="243" spans="1:5" x14ac:dyDescent="0.25">
      <c r="A243" s="2" t="s">
        <v>728</v>
      </c>
      <c r="B243" s="2" t="s">
        <v>729</v>
      </c>
      <c r="C243" s="3" t="s">
        <v>730</v>
      </c>
      <c r="D243" s="3" t="str">
        <f ca="1">IFERROR(__xludf.DUMMYFUNCTION("GOOGLETRANSLATE(A243,""fr"",""en"")"),"support")</f>
        <v>support</v>
      </c>
      <c r="E243" s="3" t="str">
        <f ca="1">IFERROR(__xludf.DUMMYFUNCTION("GOOGLETRANSLATE(B243,""fr"",""en"")"),"She bears criticism with patience.")</f>
        <v>She bears criticism with patience.</v>
      </c>
    </row>
    <row r="244" spans="1:5" x14ac:dyDescent="0.25">
      <c r="A244" s="2" t="s">
        <v>731</v>
      </c>
      <c r="B244" s="2" t="s">
        <v>732</v>
      </c>
      <c r="C244" s="3" t="s">
        <v>733</v>
      </c>
      <c r="D244" s="3" t="str">
        <f ca="1">IFERROR(__xludf.DUMMYFUNCTION("GOOGLETRANSLATE(A244,""fr"",""en"")"),"to touch")</f>
        <v>to touch</v>
      </c>
      <c r="E244" s="3" t="str">
        <f ca="1">IFERROR(__xludf.DUMMYFUNCTION("GOOGLETRANSLATE(B244,""fr"",""en"")"),"They receive an attractive salary.")</f>
        <v>They receive an attractive salary.</v>
      </c>
    </row>
    <row r="245" spans="1:5" x14ac:dyDescent="0.25">
      <c r="A245" s="2" t="s">
        <v>734</v>
      </c>
      <c r="B245" s="2" t="s">
        <v>735</v>
      </c>
      <c r="C245" s="3" t="s">
        <v>736</v>
      </c>
      <c r="D245" s="3" t="str">
        <f ca="1">IFERROR(__xludf.DUMMYFUNCTION("GOOGLETRANSLATE(A245,""fr"",""en"")"),"destroy")</f>
        <v>destroy</v>
      </c>
      <c r="E245" s="3" t="str">
        <f ca="1">IFERROR(__xludf.DUMMYFUNCTION("GOOGLETRANSLATE(B245,""fr"",""en"")"),"We destroy confidential documents.")</f>
        <v>We destroy confidential documents.</v>
      </c>
    </row>
    <row r="246" spans="1:5" x14ac:dyDescent="0.25">
      <c r="A246" s="2" t="s">
        <v>737</v>
      </c>
      <c r="B246" s="2" t="s">
        <v>738</v>
      </c>
      <c r="C246" s="3" t="s">
        <v>739</v>
      </c>
      <c r="D246" s="3" t="str">
        <f ca="1">IFERROR(__xludf.DUMMYFUNCTION("GOOGLETRANSLATE(A246,""fr"",""en"")"),"disappear")</f>
        <v>disappear</v>
      </c>
      <c r="E246" s="3" t="str">
        <f ca="1">IFERROR(__xludf.DUMMYFUNCTION("GOOGLETRANSLATE(B246,""fr"",""en"")"),"She often disappears without warning.")</f>
        <v>She often disappears without warning.</v>
      </c>
    </row>
    <row r="247" spans="1:5" x14ac:dyDescent="0.25">
      <c r="A247" s="2" t="s">
        <v>740</v>
      </c>
      <c r="B247" s="2" t="s">
        <v>741</v>
      </c>
      <c r="C247" s="3" t="s">
        <v>742</v>
      </c>
      <c r="D247" s="3" t="str">
        <f ca="1">IFERROR(__xludf.DUMMYFUNCTION("GOOGLETRANSLATE(A247,""fr"",""en"")"),"finish")</f>
        <v>finish</v>
      </c>
      <c r="E247" s="3" t="str">
        <f ca="1">IFERROR(__xludf.DUMMYFUNCTION("GOOGLETRANSLATE(B247,""fr"",""en"")"),"They always finish their work on time.")</f>
        <v>They always finish their work on time.</v>
      </c>
    </row>
    <row r="248" spans="1:5" x14ac:dyDescent="0.25">
      <c r="A248" s="2" t="s">
        <v>743</v>
      </c>
      <c r="B248" s="2" t="s">
        <v>744</v>
      </c>
      <c r="C248" s="3" t="s">
        <v>745</v>
      </c>
      <c r="D248" s="3" t="str">
        <f ca="1">IFERROR(__xludf.DUMMYFUNCTION("GOOGLETRANSLATE(A248,""fr"",""en"")"),"retain")</f>
        <v>retain</v>
      </c>
      <c r="E248" s="3" t="str">
        <f ca="1">IFERROR(__xludf.DUMMYFUNCTION("GOOGLETRANSLATE(B248,""fr"",""en"")"),"We retain the lessons learned.")</f>
        <v>We retain the lessons learned.</v>
      </c>
    </row>
    <row r="249" spans="1:5" x14ac:dyDescent="0.25">
      <c r="A249" s="2" t="s">
        <v>746</v>
      </c>
      <c r="B249" s="2" t="s">
        <v>747</v>
      </c>
      <c r="C249" s="3" t="s">
        <v>748</v>
      </c>
      <c r="D249" s="3" t="str">
        <f ca="1">IFERROR(__xludf.DUMMYFUNCTION("GOOGLETRANSLATE(A249,""fr"",""en"")"),"undertake")</f>
        <v>undertake</v>
      </c>
      <c r="E249" s="3" t="str">
        <f ca="1">IFERROR(__xludf.DUMMYFUNCTION("GOOGLETRANSLATE(B249,""fr"",""en"")"),"She sets out on a journey around the world.")</f>
        <v>She sets out on a journey around the world.</v>
      </c>
    </row>
    <row r="250" spans="1:5" x14ac:dyDescent="0.25">
      <c r="A250" s="2" t="s">
        <v>749</v>
      </c>
      <c r="B250" s="2" t="s">
        <v>750</v>
      </c>
      <c r="C250" s="3" t="s">
        <v>751</v>
      </c>
      <c r="D250" s="3" t="str">
        <f ca="1">IFERROR(__xludf.DUMMYFUNCTION("GOOGLETRANSLATE(A250,""fr"",""en"")"),"to fall")</f>
        <v>to fall</v>
      </c>
      <c r="E250" s="3" t="str">
        <f ca="1">IFERROR(__xludf.DUMMYFUNCTION("GOOGLETRANSLATE(B250,""fr"",""en"")"),"They fall in love in Paris.")</f>
        <v>They fall in love in Paris.</v>
      </c>
    </row>
    <row r="251" spans="1:5" x14ac:dyDescent="0.25">
      <c r="A251" s="2" t="s">
        <v>752</v>
      </c>
      <c r="B251" s="2" t="s">
        <v>753</v>
      </c>
      <c r="C251" s="3" t="s">
        <v>754</v>
      </c>
      <c r="D251" s="3" t="str">
        <f ca="1">IFERROR(__xludf.DUMMYFUNCTION("GOOGLETRANSLATE(A251,""fr"",""en"")"),"transform")</f>
        <v>transform</v>
      </c>
      <c r="E251" s="3" t="str">
        <f ca="1">IFERROR(__xludf.DUMMYFUNCTION("GOOGLETRANSLATE(B251,""fr"",""en"")"),"We transform ideas into concrete actions.")</f>
        <v>We transform ideas into concrete actions.</v>
      </c>
    </row>
    <row r="252" spans="1:5" x14ac:dyDescent="0.25">
      <c r="A252" s="2" t="s">
        <v>755</v>
      </c>
      <c r="B252" s="2" t="s">
        <v>756</v>
      </c>
      <c r="C252" s="3" t="s">
        <v>757</v>
      </c>
      <c r="D252" s="3" t="str">
        <f ca="1">IFERROR(__xludf.DUMMYFUNCTION("GOOGLETRANSLATE(A252,""fr"",""en"")"),"to correct")</f>
        <v>to correct</v>
      </c>
      <c r="E252" s="3" t="str">
        <f ca="1">IFERROR(__xludf.DUMMYFUNCTION("GOOGLETRANSLATE(B252,""fr"",""en"")"),"She corrects errors in the document.")</f>
        <v>She corrects errors in the document.</v>
      </c>
    </row>
    <row r="253" spans="1:5" x14ac:dyDescent="0.25">
      <c r="A253" s="2" t="s">
        <v>758</v>
      </c>
      <c r="B253" s="2" t="s">
        <v>759</v>
      </c>
      <c r="C253" s="3" t="s">
        <v>760</v>
      </c>
      <c r="D253" s="3" t="str">
        <f ca="1">IFERROR(__xludf.DUMMYFUNCTION("GOOGLETRANSLATE(A253,""fr"",""en"")"),"collaborate")</f>
        <v>collaborate</v>
      </c>
      <c r="E253" s="3" t="str">
        <f ca="1">IFERROR(__xludf.DUMMYFUNCTION("GOOGLETRANSLATE(B253,""fr"",""en"")"),"They collaborate on an artistic project.")</f>
        <v>They collaborate on an artistic project.</v>
      </c>
    </row>
    <row r="254" spans="1:5" x14ac:dyDescent="0.25">
      <c r="A254" s="2" t="s">
        <v>761</v>
      </c>
      <c r="B254" s="2" t="s">
        <v>762</v>
      </c>
      <c r="C254" s="3" t="s">
        <v>763</v>
      </c>
      <c r="D254" s="3" t="str">
        <f ca="1">IFERROR(__xludf.DUMMYFUNCTION("GOOGLETRANSLATE(A254,""fr"",""en"")"),"broadcast")</f>
        <v>broadcast</v>
      </c>
      <c r="E254" s="3" t="str">
        <f ca="1">IFERROR(__xludf.DUMMYFUNCTION("GOOGLETRANSLATE(B254,""fr"",""en"")"),"We are disseminating important information.")</f>
        <v>We are disseminating important information.</v>
      </c>
    </row>
    <row r="255" spans="1:5" x14ac:dyDescent="0.25">
      <c r="A255" s="2" t="s">
        <v>764</v>
      </c>
      <c r="B255" s="2" t="s">
        <v>765</v>
      </c>
      <c r="C255" s="3" t="s">
        <v>766</v>
      </c>
      <c r="D255" s="3" t="str">
        <f ca="1">IFERROR(__xludf.DUMMYFUNCTION("GOOGLETRANSLATE(A255,""fr"",""en"")"),"exploit")</f>
        <v>exploit</v>
      </c>
      <c r="E255" s="3" t="str">
        <f ca="1">IFERROR(__xludf.DUMMYFUNCTION("GOOGLETRANSLATE(B255,""fr"",""en"")"),"She is fully exploiting her potential.")</f>
        <v>She is fully exploiting her potential.</v>
      </c>
    </row>
    <row r="256" spans="1:5" x14ac:dyDescent="0.25">
      <c r="A256" s="2" t="s">
        <v>767</v>
      </c>
      <c r="B256" s="2" t="s">
        <v>768</v>
      </c>
      <c r="C256" s="3" t="s">
        <v>769</v>
      </c>
      <c r="D256" s="3" t="str">
        <f ca="1">IFERROR(__xludf.DUMMYFUNCTION("GOOGLETRANSLATE(A256,""fr"",""en"")"),"register")</f>
        <v>register</v>
      </c>
      <c r="E256" s="3" t="str">
        <f ca="1">IFERROR(__xludf.DUMMYFUNCTION("GOOGLETRANSLATE(B256,""fr"",""en"")"),"They enroll their children in school.")</f>
        <v>They enroll their children in school.</v>
      </c>
    </row>
    <row r="257" spans="1:5" x14ac:dyDescent="0.25">
      <c r="A257" s="2" t="s">
        <v>770</v>
      </c>
      <c r="B257" s="2" t="s">
        <v>771</v>
      </c>
      <c r="C257" s="3" t="s">
        <v>772</v>
      </c>
      <c r="D257" s="3" t="str">
        <f ca="1">IFERROR(__xludf.DUMMYFUNCTION("GOOGLETRANSLATE(A257,""fr"",""en"")"),"design")</f>
        <v>design</v>
      </c>
      <c r="E257" s="3" t="str">
        <f ca="1">IFERROR(__xludf.DUMMYFUNCTION("GOOGLETRANSLATE(B257,""fr"",""en"")"),"We are designing a new innovative product.")</f>
        <v>We are designing a new innovative product.</v>
      </c>
    </row>
    <row r="258" spans="1:5" x14ac:dyDescent="0.25">
      <c r="A258" s="2" t="s">
        <v>773</v>
      </c>
      <c r="B258" s="2" t="s">
        <v>774</v>
      </c>
      <c r="C258" s="3" t="s">
        <v>775</v>
      </c>
      <c r="D258" s="3" t="str">
        <f ca="1">IFERROR(__xludf.DUMMYFUNCTION("GOOGLETRANSLATE(A258,""fr"",""en"")"),"pour")</f>
        <v>pour</v>
      </c>
      <c r="E258" s="3" t="str">
        <f ca="1">IFERROR(__xludf.DUMMYFUNCTION("GOOGLETRANSLATE(B258,""fr"",""en"")"),"She pours milk into her coffee.")</f>
        <v>She pours milk into her coffee.</v>
      </c>
    </row>
    <row r="259" spans="1:5" x14ac:dyDescent="0.25">
      <c r="A259" s="2" t="s">
        <v>776</v>
      </c>
      <c r="B259" s="2" t="s">
        <v>777</v>
      </c>
      <c r="C259" s="3" t="s">
        <v>778</v>
      </c>
      <c r="D259" s="3" t="str">
        <f ca="1">IFERROR(__xludf.DUMMYFUNCTION("GOOGLETRANSLATE(A259,""fr"",""en"")"),"observe")</f>
        <v>observe</v>
      </c>
      <c r="E259" s="3" t="str">
        <f ca="1">IFERROR(__xludf.DUMMYFUNCTION("GOOGLETRANSLATE(B259,""fr"",""en"")"),"They observe the stars at night.")</f>
        <v>They observe the stars at night.</v>
      </c>
    </row>
    <row r="260" spans="1:5" x14ac:dyDescent="0.25">
      <c r="A260" s="2" t="s">
        <v>779</v>
      </c>
      <c r="B260" s="2" t="s">
        <v>780</v>
      </c>
      <c r="C260" s="3" t="s">
        <v>781</v>
      </c>
      <c r="D260" s="3" t="str">
        <f ca="1">IFERROR(__xludf.DUMMYFUNCTION("GOOGLETRANSLATE(A260,""fr"",""en"")"),"lunch")</f>
        <v>lunch</v>
      </c>
      <c r="E260" s="3" t="str">
        <f ca="1">IFERROR(__xludf.DUMMYFUNCTION("GOOGLETRANSLATE(B260,""fr"",""en"")"),"We have lunch together every Sunday.")</f>
        <v>We have lunch together every Sunday.</v>
      </c>
    </row>
    <row r="261" spans="1:5" x14ac:dyDescent="0.25">
      <c r="A261" s="2" t="s">
        <v>782</v>
      </c>
      <c r="B261" s="2" t="s">
        <v>783</v>
      </c>
      <c r="C261" s="3" t="s">
        <v>784</v>
      </c>
      <c r="D261" s="3" t="str">
        <f ca="1">IFERROR(__xludf.DUMMYFUNCTION("GOOGLETRANSLATE(A261,""fr"",""en"")"),"contain")</f>
        <v>contain</v>
      </c>
      <c r="E261" s="3" t="str">
        <f ca="1">IFERROR(__xludf.DUMMYFUNCTION("GOOGLETRANSLATE(B261,""fr"",""en"")"),"She contains her emotions in public.")</f>
        <v>She contains her emotions in public.</v>
      </c>
    </row>
    <row r="262" spans="1:5" x14ac:dyDescent="0.25">
      <c r="A262" s="2" t="s">
        <v>785</v>
      </c>
      <c r="B262" s="2" t="s">
        <v>786</v>
      </c>
      <c r="C262" s="3" t="s">
        <v>787</v>
      </c>
      <c r="D262" s="3" t="str">
        <f ca="1">IFERROR(__xludf.DUMMYFUNCTION("GOOGLETRANSLATE(A262,""fr"",""en"")"),"coordinate")</f>
        <v>coordinate</v>
      </c>
      <c r="E262" s="3" t="str">
        <f ca="1">IFERROR(__xludf.DUMMYFUNCTION("GOOGLETRANSLATE(B262,""fr"",""en"")"),"They coordinate the team's efforts.")</f>
        <v>They coordinate the team's efforts.</v>
      </c>
    </row>
    <row r="263" spans="1:5" x14ac:dyDescent="0.25">
      <c r="A263" s="2" t="s">
        <v>788</v>
      </c>
      <c r="B263" s="2" t="s">
        <v>789</v>
      </c>
      <c r="C263" s="3" t="s">
        <v>790</v>
      </c>
      <c r="D263" s="3" t="str">
        <f ca="1">IFERROR(__xludf.DUMMYFUNCTION("GOOGLETRANSLATE(A263,""fr"",""en"")"),"collect")</f>
        <v>collect</v>
      </c>
      <c r="E263" s="3" t="str">
        <f ca="1">IFERROR(__xludf.DUMMYFUNCTION("GOOGLETRANSLATE(B263,""fr"",""en"")"),"We are collecting data for the study.")</f>
        <v>We are collecting data for the study.</v>
      </c>
    </row>
    <row r="264" spans="1:5" x14ac:dyDescent="0.25">
      <c r="A264" s="2" t="s">
        <v>791</v>
      </c>
      <c r="B264" s="2" t="s">
        <v>792</v>
      </c>
      <c r="C264" s="3" t="s">
        <v>793</v>
      </c>
      <c r="D264" s="3" t="str">
        <f ca="1">IFERROR(__xludf.DUMMYFUNCTION("GOOGLETRANSLATE(A264,""fr"",""en"")"),"prove")</f>
        <v>prove</v>
      </c>
      <c r="E264" s="3" t="str">
        <f ca="1">IFERROR(__xludf.DUMMYFUNCTION("GOOGLETRANSLATE(B264,""fr"",""en"")"),"She proves her innocence in court.")</f>
        <v>She proves her innocence in court.</v>
      </c>
    </row>
    <row r="265" spans="1:5" x14ac:dyDescent="0.25">
      <c r="A265" s="2" t="s">
        <v>794</v>
      </c>
      <c r="B265" s="2" t="s">
        <v>795</v>
      </c>
      <c r="C265" s="3" t="s">
        <v>796</v>
      </c>
      <c r="D265" s="3" t="str">
        <f ca="1">IFERROR(__xludf.DUMMYFUNCTION("GOOGLETRANSLATE(A265,""fr"",""en"")"),"cut")</f>
        <v>cut</v>
      </c>
      <c r="E265" s="3" t="str">
        <f ca="1">IFERROR(__xludf.DUMMYFUNCTION("GOOGLETRANSLATE(B265,""fr"",""en"")"),"They are cutting wood for the fireplace.")</f>
        <v>They are cutting wood for the fireplace.</v>
      </c>
    </row>
    <row r="266" spans="1:5" x14ac:dyDescent="0.25">
      <c r="A266" s="2" t="s">
        <v>797</v>
      </c>
      <c r="B266" s="2" t="s">
        <v>798</v>
      </c>
      <c r="C266" s="3" t="s">
        <v>799</v>
      </c>
      <c r="D266" s="3" t="str">
        <f ca="1">IFERROR(__xludf.DUMMYFUNCTION("GOOGLETRANSLATE(A266,""fr"",""en"")"),"congratulate")</f>
        <v>congratulate</v>
      </c>
      <c r="E266" s="3" t="str">
        <f ca="1">IFERROR(__xludf.DUMMYFUNCTION("GOOGLETRANSLATE(B266,""fr"",""en"")"),"We congratulate the winners of the competition.")</f>
        <v>We congratulate the winners of the competition.</v>
      </c>
    </row>
    <row r="267" spans="1:5" x14ac:dyDescent="0.25">
      <c r="A267" s="2" t="s">
        <v>800</v>
      </c>
      <c r="B267" s="2" t="s">
        <v>801</v>
      </c>
      <c r="C267" s="3" t="s">
        <v>802</v>
      </c>
      <c r="D267" s="3" t="str">
        <f ca="1">IFERROR(__xludf.DUMMYFUNCTION("GOOGLETRANSLATE(A267,""fr"",""en"")"),"justify")</f>
        <v>justify</v>
      </c>
      <c r="E267" s="3" t="str">
        <f ca="1">IFERROR(__xludf.DUMMYFUNCTION("GOOGLETRANSLATE(B267,""fr"",""en"")"),"She justifies her decisions with evidence.")</f>
        <v>She justifies her decisions with evidence.</v>
      </c>
    </row>
    <row r="268" spans="1:5" x14ac:dyDescent="0.25">
      <c r="A268" s="2" t="s">
        <v>803</v>
      </c>
      <c r="B268" s="2" t="s">
        <v>804</v>
      </c>
      <c r="C268" s="3" t="s">
        <v>805</v>
      </c>
      <c r="D268" s="3" t="str">
        <f ca="1">IFERROR(__xludf.DUMMYFUNCTION("GOOGLETRANSLATE(A268,""fr"",""en"")"),"describe")</f>
        <v>describe</v>
      </c>
      <c r="E268" s="3" t="str">
        <f ca="1">IFERROR(__xludf.DUMMYFUNCTION("GOOGLETRANSLATE(B268,""fr"",""en"")"),"They describe the landscape with poetic words.")</f>
        <v>They describe the landscape with poetic words.</v>
      </c>
    </row>
    <row r="269" spans="1:5" x14ac:dyDescent="0.25">
      <c r="A269" s="2" t="s">
        <v>806</v>
      </c>
      <c r="B269" s="2" t="s">
        <v>807</v>
      </c>
      <c r="C269" s="3" t="s">
        <v>808</v>
      </c>
      <c r="D269" s="3" t="str">
        <f ca="1">IFERROR(__xludf.DUMMYFUNCTION("GOOGLETRANSLATE(A269,""fr"",""en"")"),"sign")</f>
        <v>sign</v>
      </c>
      <c r="E269" s="3" t="str">
        <f ca="1">IFERROR(__xludf.DUMMYFUNCTION("GOOGLETRANSLATE(B269,""fr"",""en"")"),"We sign the contract today.")</f>
        <v>We sign the contract today.</v>
      </c>
    </row>
    <row r="270" spans="1:5" x14ac:dyDescent="0.25">
      <c r="A270" s="2" t="s">
        <v>809</v>
      </c>
      <c r="B270" s="2" t="s">
        <v>810</v>
      </c>
      <c r="C270" s="3" t="s">
        <v>811</v>
      </c>
      <c r="D270" s="3" t="str">
        <f ca="1">IFERROR(__xludf.DUMMYFUNCTION("GOOGLETRANSLATE(A270,""fr"",""en"")"),"achieve")</f>
        <v>achieve</v>
      </c>
      <c r="E270" s="3" t="str">
        <f ca="1">IFERROR(__xludf.DUMMYFUNCTION("GOOGLETRANSLATE(B270,""fr"",""en"")"),"She manages to balance work and personal life.")</f>
        <v>She manages to balance work and personal life.</v>
      </c>
    </row>
    <row r="271" spans="1:5" x14ac:dyDescent="0.25">
      <c r="A271" s="2" t="s">
        <v>812</v>
      </c>
      <c r="B271" s="2" t="s">
        <v>813</v>
      </c>
      <c r="C271" s="3" t="s">
        <v>814</v>
      </c>
      <c r="D271" s="3" t="str">
        <f ca="1">IFERROR(__xludf.DUMMYFUNCTION("GOOGLETRANSLATE(A271,""fr"",""en"")"),"notice")</f>
        <v>notice</v>
      </c>
      <c r="E271" s="3" t="str">
        <f ca="1">IFERROR(__xludf.DUMMYFUNCTION("GOOGLETRANSLATE(B271,""fr"",""en"")"),"They see the progress made.")</f>
        <v>They see the progress made.</v>
      </c>
    </row>
    <row r="272" spans="1:5" x14ac:dyDescent="0.25">
      <c r="A272" s="2" t="s">
        <v>815</v>
      </c>
      <c r="B272" s="2" t="s">
        <v>816</v>
      </c>
      <c r="C272" s="3" t="s">
        <v>817</v>
      </c>
      <c r="D272" s="3" t="str">
        <f ca="1">IFERROR(__xludf.DUMMYFUNCTION("GOOGLETRANSLATE(A272,""fr"",""en"")"),"proud")</f>
        <v>proud</v>
      </c>
      <c r="E272" s="3" t="str">
        <f ca="1">IFERROR(__xludf.DUMMYFUNCTION("GOOGLETRANSLATE(B272,""fr"",""en"")"),"We are proud of our achievements.")</f>
        <v>We are proud of our achievements.</v>
      </c>
    </row>
    <row r="273" spans="1:5" x14ac:dyDescent="0.25">
      <c r="A273" s="2" t="s">
        <v>818</v>
      </c>
      <c r="B273" s="2" t="s">
        <v>819</v>
      </c>
      <c r="C273" s="3" t="s">
        <v>820</v>
      </c>
      <c r="D273" s="3" t="str">
        <f ca="1">IFERROR(__xludf.DUMMYFUNCTION("GOOGLETRANSLATE(A273,""fr"",""en"")"),"to assume")</f>
        <v>to assume</v>
      </c>
      <c r="E273" s="3" t="str">
        <f ca="1">IFERROR(__xludf.DUMMYFUNCTION("GOOGLETRANSLATE(B273,""fr"",""en"")"),"She takes responsibility for her actions.")</f>
        <v>She takes responsibility for her actions.</v>
      </c>
    </row>
    <row r="274" spans="1:5" x14ac:dyDescent="0.25">
      <c r="A274" s="2" t="s">
        <v>821</v>
      </c>
      <c r="B274" s="2" t="s">
        <v>822</v>
      </c>
      <c r="C274" s="3" t="s">
        <v>823</v>
      </c>
      <c r="D274" s="3" t="str">
        <f ca="1">IFERROR(__xludf.DUMMYFUNCTION("GOOGLETRANSLATE(A274,""fr"",""en"")"),"to want")</f>
        <v>to want</v>
      </c>
      <c r="E274" s="3" t="str">
        <f ca="1">IFERROR(__xludf.DUMMYFUNCTION("GOOGLETRANSLATE(B274,""fr"",""en"")"),"They want to travel the world.")</f>
        <v>They want to travel the world.</v>
      </c>
    </row>
    <row r="275" spans="1:5" x14ac:dyDescent="0.25">
      <c r="A275" s="2" t="s">
        <v>824</v>
      </c>
      <c r="B275" s="2" t="s">
        <v>825</v>
      </c>
      <c r="C275" s="3" t="s">
        <v>826</v>
      </c>
      <c r="D275" s="3" t="str">
        <f ca="1">IFERROR(__xludf.DUMMYFUNCTION("GOOGLETRANSLATE(A275,""fr"",""en"")"),"memory")</f>
        <v>memory</v>
      </c>
      <c r="E275" s="3" t="str">
        <f ca="1">IFERROR(__xludf.DUMMYFUNCTION("GOOGLETRANSLATE(B275,""fr"",""en"")"),"We remember our childhood.")</f>
        <v>We remember our childhood.</v>
      </c>
    </row>
    <row r="276" spans="1:5" x14ac:dyDescent="0.25">
      <c r="A276" s="2" t="s">
        <v>827</v>
      </c>
      <c r="B276" s="2" t="s">
        <v>828</v>
      </c>
      <c r="C276" s="3" t="s">
        <v>829</v>
      </c>
      <c r="D276" s="3" t="str">
        <f ca="1">IFERROR(__xludf.DUMMYFUNCTION("GOOGLETRANSLATE(A276,""fr"",""en"")"),"react")</f>
        <v>react</v>
      </c>
      <c r="E276" s="3" t="str">
        <f ca="1">IFERROR(__xludf.DUMMYFUNCTION("GOOGLETRANSLATE(B276,""fr"",""en"")"),"She reacts quickly to changes.")</f>
        <v>She reacts quickly to changes.</v>
      </c>
    </row>
    <row r="277" spans="1:5" x14ac:dyDescent="0.25">
      <c r="A277" s="2" t="s">
        <v>830</v>
      </c>
      <c r="B277" s="2" t="s">
        <v>831</v>
      </c>
      <c r="C277" s="3" t="s">
        <v>832</v>
      </c>
      <c r="D277" s="3" t="str">
        <f ca="1">IFERROR(__xludf.DUMMYFUNCTION("GOOGLETRANSLATE(A277,""fr"",""en"")"),"exceed")</f>
        <v>exceed</v>
      </c>
      <c r="E277" s="3" t="str">
        <f ca="1">IFERROR(__xludf.DUMMYFUNCTION("GOOGLETRANSLATE(B277,""fr"",""en"")"),"They always exceed expectations.")</f>
        <v>They always exceed expectations.</v>
      </c>
    </row>
    <row r="278" spans="1:5" x14ac:dyDescent="0.25">
      <c r="A278" s="2" t="s">
        <v>833</v>
      </c>
      <c r="B278" s="2" t="s">
        <v>834</v>
      </c>
      <c r="C278" s="3" t="s">
        <v>835</v>
      </c>
      <c r="D278" s="3" t="str">
        <f ca="1">IFERROR(__xludf.DUMMYFUNCTION("GOOGLETRANSLATE(A278,""fr"",""en"")"),"distribute")</f>
        <v>distribute</v>
      </c>
      <c r="E278" s="3" t="str">
        <f ca="1">IFERROR(__xludf.DUMMYFUNCTION("GOOGLETRANSLATE(B278,""fr"",""en"")"),"We distribute advertising leaflets.")</f>
        <v>We distribute advertising leaflets.</v>
      </c>
    </row>
    <row r="279" spans="1:5" x14ac:dyDescent="0.25">
      <c r="A279" s="2" t="s">
        <v>836</v>
      </c>
      <c r="B279" s="2" t="s">
        <v>837</v>
      </c>
      <c r="C279" s="3" t="s">
        <v>838</v>
      </c>
      <c r="D279" s="3" t="str">
        <f ca="1">IFERROR(__xludf.DUMMYFUNCTION("GOOGLETRANSLATE(A279,""fr"",""en"")"),"release")</f>
        <v>release</v>
      </c>
      <c r="E279" s="3" t="str">
        <f ca="1">IFERROR(__xludf.DUMMYFUNCTION("GOOGLETRANSLATE(B279,""fr"",""en"")"),"It frees up places for new arrivals.")</f>
        <v>It frees up places for new arrivals.</v>
      </c>
    </row>
    <row r="280" spans="1:5" x14ac:dyDescent="0.25">
      <c r="A280" s="2" t="s">
        <v>839</v>
      </c>
      <c r="B280" s="2" t="s">
        <v>840</v>
      </c>
      <c r="C280" s="3" t="s">
        <v>841</v>
      </c>
      <c r="D280" s="3" t="str">
        <f ca="1">IFERROR(__xludf.DUMMYFUNCTION("GOOGLETRANSLATE(A280,""fr"",""en"")"),"publish")</f>
        <v>publish</v>
      </c>
      <c r="E280" s="3" t="str">
        <f ca="1">IFERROR(__xludf.DUMMYFUNCTION("GOOGLETRANSLATE(B280,""fr"",""en"")"),"They publish an article in the newspaper.")</f>
        <v>They publish an article in the newspaper.</v>
      </c>
    </row>
    <row r="281" spans="1:5" x14ac:dyDescent="0.25">
      <c r="A281" s="2" t="s">
        <v>842</v>
      </c>
      <c r="B281" s="2" t="s">
        <v>843</v>
      </c>
      <c r="C281" s="3" t="s">
        <v>844</v>
      </c>
      <c r="D281" s="3" t="str">
        <f ca="1">IFERROR(__xludf.DUMMYFUNCTION("GOOGLETRANSLATE(A281,""fr"",""en"")"),"sleep")</f>
        <v>sleep</v>
      </c>
      <c r="E281" s="3" t="str">
        <f ca="1">IFERROR(__xludf.DUMMYFUNCTION("GOOGLETRANSLATE(B281,""fr"",""en"")"),"We sleep eight hours a night.")</f>
        <v>We sleep eight hours a night.</v>
      </c>
    </row>
    <row r="282" spans="1:5" x14ac:dyDescent="0.25">
      <c r="A282" s="2" t="s">
        <v>845</v>
      </c>
      <c r="B282" s="2" t="s">
        <v>846</v>
      </c>
      <c r="C282" s="3" t="s">
        <v>847</v>
      </c>
      <c r="D282" s="3" t="str">
        <f ca="1">IFERROR(__xludf.DUMMYFUNCTION("GOOGLETRANSLATE(A282,""fr"",""en"")"),"stimulate")</f>
        <v>stimulate</v>
      </c>
      <c r="E282" s="3" t="str">
        <f ca="1">IFERROR(__xludf.DUMMYFUNCTION("GOOGLETRANSLATE(B282,""fr"",""en"")"),"She stimulates the creativity of her students.")</f>
        <v>She stimulates the creativity of her students.</v>
      </c>
    </row>
    <row r="283" spans="1:5" x14ac:dyDescent="0.25">
      <c r="A283" s="2" t="s">
        <v>848</v>
      </c>
      <c r="B283" s="2" t="s">
        <v>849</v>
      </c>
      <c r="C283" s="3" t="s">
        <v>850</v>
      </c>
      <c r="D283" s="3" t="str">
        <f ca="1">IFERROR(__xludf.DUMMYFUNCTION("GOOGLETRANSLATE(A283,""fr"",""en"")"),"demonstrate")</f>
        <v>demonstrate</v>
      </c>
      <c r="E283" s="3" t="str">
        <f ca="1">IFERROR(__xludf.DUMMYFUNCTION("GOOGLETRANSLATE(B283,""fr"",""en"")"),"They demonstrate their skills during the interview.")</f>
        <v>They demonstrate their skills during the interview.</v>
      </c>
    </row>
    <row r="284" spans="1:5" x14ac:dyDescent="0.25">
      <c r="A284" s="2" t="s">
        <v>851</v>
      </c>
      <c r="B284" s="2" t="s">
        <v>852</v>
      </c>
      <c r="C284" s="3" t="s">
        <v>853</v>
      </c>
      <c r="D284" s="3" t="str">
        <f ca="1">IFERROR(__xludf.DUMMYFUNCTION("GOOGLETRANSLATE(A284,""fr"",""en"")"),"formulate")</f>
        <v>formulate</v>
      </c>
      <c r="E284" s="3" t="str">
        <f ca="1">IFERROR(__xludf.DUMMYFUNCTION("GOOGLETRANSLATE(B284,""fr"",""en"")"),"We formulate hypotheses for the experiment.")</f>
        <v>We formulate hypotheses for the experiment.</v>
      </c>
    </row>
    <row r="285" spans="1:5" x14ac:dyDescent="0.25">
      <c r="A285" s="2" t="s">
        <v>854</v>
      </c>
      <c r="B285" s="2" t="s">
        <v>855</v>
      </c>
      <c r="C285" s="3" t="s">
        <v>856</v>
      </c>
      <c r="D285" s="3" t="str">
        <f ca="1">IFERROR(__xludf.DUMMYFUNCTION("GOOGLETRANSLATE(A285,""fr"",""en"")"),"separate")</f>
        <v>separate</v>
      </c>
      <c r="E285" s="3" t="str">
        <f ca="1">IFERROR(__xludf.DUMMYFUNCTION("GOOGLETRANSLATE(B285,""fr"",""en"")"),"She separates clothes by color before washing them.")</f>
        <v>She separates clothes by color before washing them.</v>
      </c>
    </row>
    <row r="286" spans="1:5" x14ac:dyDescent="0.25">
      <c r="A286" s="2" t="s">
        <v>857</v>
      </c>
      <c r="B286" s="2" t="s">
        <v>858</v>
      </c>
      <c r="C286" s="3" t="s">
        <v>859</v>
      </c>
      <c r="D286" s="3" t="str">
        <f ca="1">IFERROR(__xludf.DUMMYFUNCTION("GOOGLETRANSLATE(A286,""fr"",""en"")"),"to walk")</f>
        <v>to walk</v>
      </c>
      <c r="E286" s="3" t="str">
        <f ca="1">IFERROR(__xludf.DUMMYFUNCTION("GOOGLETRANSLATE(B286,""fr"",""en"")"),"They walk in the park every morning.")</f>
        <v>They walk in the park every morning.</v>
      </c>
    </row>
    <row r="287" spans="1:5" x14ac:dyDescent="0.25">
      <c r="A287" s="2" t="s">
        <v>860</v>
      </c>
      <c r="B287" s="2" t="s">
        <v>861</v>
      </c>
      <c r="C287" s="3" t="s">
        <v>862</v>
      </c>
      <c r="D287" s="3" t="str">
        <f ca="1">IFERROR(__xludf.DUMMYFUNCTION("GOOGLETRANSLATE(A287,""fr"",""en"")"),"emit")</f>
        <v>emit</v>
      </c>
      <c r="E287" s="3" t="str">
        <f ca="1">IFERROR(__xludf.DUMMYFUNCTION("GOOGLETRANSLATE(B287,""fr"",""en"")"),"We issue a favourable opinion on the proposal.")</f>
        <v>We issue a favourable opinion on the proposal.</v>
      </c>
    </row>
    <row r="288" spans="1:5" x14ac:dyDescent="0.25">
      <c r="A288" s="2" t="s">
        <v>863</v>
      </c>
      <c r="B288" s="2" t="s">
        <v>864</v>
      </c>
      <c r="C288" s="3" t="s">
        <v>865</v>
      </c>
      <c r="D288" s="3" t="str">
        <f ca="1">IFERROR(__xludf.DUMMYFUNCTION("GOOGLETRANSLATE(A288,""fr"",""en"")"),"to reflect on")</f>
        <v>to reflect on</v>
      </c>
      <c r="E288" s="3" t="str">
        <f ca="1">IFERROR(__xludf.DUMMYFUNCTION("GOOGLETRANSLATE(B288,""fr"",""en"")"),"She thinks before making a decision.")</f>
        <v>She thinks before making a decision.</v>
      </c>
    </row>
    <row r="289" spans="1:5" x14ac:dyDescent="0.25">
      <c r="A289" s="2" t="s">
        <v>866</v>
      </c>
      <c r="B289" s="2" t="s">
        <v>867</v>
      </c>
      <c r="C289" s="3" t="s">
        <v>868</v>
      </c>
      <c r="D289" s="3" t="str">
        <f ca="1">IFERROR(__xludf.DUMMYFUNCTION("GOOGLETRANSLATE(A289,""fr"",""en"")"),"direct")</f>
        <v>direct</v>
      </c>
      <c r="E289" s="3" t="str">
        <f ca="1">IFERROR(__xludf.DUMMYFUNCTION("GOOGLETRANSLATE(B289,""fr"",""en"")"),"They run the business successfully.")</f>
        <v>They run the business successfully.</v>
      </c>
    </row>
    <row r="290" spans="1:5" x14ac:dyDescent="0.25">
      <c r="A290" s="2" t="s">
        <v>869</v>
      </c>
      <c r="B290" s="2" t="s">
        <v>870</v>
      </c>
      <c r="C290" s="3" t="s">
        <v>871</v>
      </c>
      <c r="D290" s="3" t="str">
        <f ca="1">IFERROR(__xludf.DUMMYFUNCTION("GOOGLETRANSLATE(A290,""fr"",""en"")"),"negotiate")</f>
        <v>negotiate</v>
      </c>
      <c r="E290" s="3" t="str">
        <f ca="1">IFERROR(__xludf.DUMMYFUNCTION("GOOGLETRANSLATE(B290,""fr"",""en"")"),"We are negotiating a mutually beneficial agreement.")</f>
        <v>We are negotiating a mutually beneficial agreement.</v>
      </c>
    </row>
    <row r="291" spans="1:5" x14ac:dyDescent="0.25">
      <c r="A291" s="2" t="s">
        <v>872</v>
      </c>
      <c r="B291" s="2" t="s">
        <v>873</v>
      </c>
      <c r="C291" s="3" t="s">
        <v>874</v>
      </c>
      <c r="D291" s="3" t="str">
        <f ca="1">IFERROR(__xludf.DUMMYFUNCTION("GOOGLETRANSLATE(A291,""fr"",""en"")"),"authorize")</f>
        <v>authorize</v>
      </c>
      <c r="E291" s="3" t="str">
        <f ca="1">IFERROR(__xludf.DUMMYFUNCTION("GOOGLETRANSLATE(B291,""fr"",""en"")"),"It allows access to confidential files.")</f>
        <v>It allows access to confidential files.</v>
      </c>
    </row>
    <row r="292" spans="1:5" x14ac:dyDescent="0.25">
      <c r="A292" s="2" t="s">
        <v>875</v>
      </c>
      <c r="B292" s="2" t="s">
        <v>876</v>
      </c>
      <c r="C292" s="3" t="s">
        <v>877</v>
      </c>
      <c r="D292" s="3" t="str">
        <f ca="1">IFERROR(__xludf.DUMMYFUNCTION("GOOGLETRANSLATE(A292,""fr"",""en"")"),"refuse")</f>
        <v>refuse</v>
      </c>
      <c r="E292" s="3" t="str">
        <f ca="1">IFERROR(__xludf.DUMMYFUNCTION("GOOGLETRANSLATE(B292,""fr"",""en"")"),"They refuse to sign the contract.")</f>
        <v>They refuse to sign the contract.</v>
      </c>
    </row>
    <row r="293" spans="1:5" x14ac:dyDescent="0.25">
      <c r="A293" s="2" t="s">
        <v>878</v>
      </c>
      <c r="B293" s="2" t="s">
        <v>879</v>
      </c>
      <c r="C293" s="3" t="s">
        <v>880</v>
      </c>
      <c r="D293" s="3" t="str">
        <f ca="1">IFERROR(__xludf.DUMMYFUNCTION("GOOGLETRANSLATE(A293,""fr"",""en"")"),"to bring back")</f>
        <v>to bring back</v>
      </c>
      <c r="E293" s="3" t="str">
        <f ca="1">IFERROR(__xludf.DUMMYFUNCTION("GOOGLETRANSLATE(B293,""fr"",""en"")"),"We bring the children home.")</f>
        <v>We bring the children home.</v>
      </c>
    </row>
    <row r="294" spans="1:5" x14ac:dyDescent="0.25">
      <c r="A294" s="2" t="s">
        <v>881</v>
      </c>
      <c r="B294" s="2" t="s">
        <v>882</v>
      </c>
      <c r="C294" s="3" t="s">
        <v>883</v>
      </c>
      <c r="D294" s="3" t="str">
        <f ca="1">IFERROR(__xludf.DUMMYFUNCTION("GOOGLETRANSLATE(A294,""fr"",""en"")"),"fly")</f>
        <v>fly</v>
      </c>
      <c r="E294" s="3" t="str">
        <f ca="1">IFERROR(__xludf.DUMMYFUNCTION("GOOGLETRANSLATE(B294,""fr"",""en"")"),"She flies across the country for work.")</f>
        <v>She flies across the country for work.</v>
      </c>
    </row>
    <row r="295" spans="1:5" x14ac:dyDescent="0.25">
      <c r="A295" s="2" t="s">
        <v>884</v>
      </c>
      <c r="B295" s="2" t="s">
        <v>885</v>
      </c>
      <c r="C295" s="3" t="s">
        <v>886</v>
      </c>
      <c r="D295" s="3" t="str">
        <f ca="1">IFERROR(__xludf.DUMMYFUNCTION("GOOGLETRANSLATE(A295,""fr"",""en"")"),"to provoke")</f>
        <v>to provoke</v>
      </c>
      <c r="E295" s="3" t="str">
        <f ca="1">IFERROR(__xludf.DUMMYFUNCTION("GOOGLETRANSLATE(B295,""fr"",""en"")"),"They bring about significant change in the community.")</f>
        <v>They bring about significant change in the community.</v>
      </c>
    </row>
    <row r="296" spans="1:5" x14ac:dyDescent="0.25">
      <c r="A296" s="2" t="s">
        <v>887</v>
      </c>
      <c r="B296" s="2" t="s">
        <v>888</v>
      </c>
      <c r="C296" s="3" t="s">
        <v>889</v>
      </c>
      <c r="D296" s="3" t="str">
        <f ca="1">IFERROR(__xludf.DUMMYFUNCTION("GOOGLETRANSLATE(A296,""fr"",""en"")"),"mention")</f>
        <v>mention</v>
      </c>
      <c r="E296" s="3" t="str">
        <f ca="1">IFERROR(__xludf.DUMMYFUNCTION("GOOGLETRANSLATE(B296,""fr"",""en"")"),"We always mention our sources in our work.")</f>
        <v>We always mention our sources in our work.</v>
      </c>
    </row>
    <row r="297" spans="1:5" x14ac:dyDescent="0.25">
      <c r="A297" s="2" t="s">
        <v>890</v>
      </c>
      <c r="B297" s="2" t="s">
        <v>891</v>
      </c>
      <c r="C297" s="3" t="s">
        <v>892</v>
      </c>
      <c r="D297" s="3" t="str">
        <f ca="1">IFERROR(__xludf.DUMMYFUNCTION("GOOGLETRANSLATE(A297,""fr"",""en"")"),"move forward")</f>
        <v>move forward</v>
      </c>
      <c r="E297" s="3" t="str">
        <f ca="1">IFERROR(__xludf.DUMMYFUNCTION("GOOGLETRANSLATE(B297,""fr"",""en"")"),"She is moving forward slowly but surely.")</f>
        <v>She is moving forward slowly but surely.</v>
      </c>
    </row>
    <row r="298" spans="1:5" x14ac:dyDescent="0.25">
      <c r="A298" s="2" t="s">
        <v>893</v>
      </c>
      <c r="B298" s="2" t="s">
        <v>894</v>
      </c>
      <c r="C298" s="3" t="s">
        <v>895</v>
      </c>
      <c r="D298" s="3" t="str">
        <f ca="1">IFERROR(__xludf.DUMMYFUNCTION("GOOGLETRANSLATE(A298,""fr"",""en"")"),"carry")</f>
        <v>carry</v>
      </c>
      <c r="E298" s="3" t="str">
        <f ca="1">IFERROR(__xludf.DUMMYFUNCTION("GOOGLETRANSLATE(B298,""fr"",""en"")"),"They transport goods across the country.")</f>
        <v>They transport goods across the country.</v>
      </c>
    </row>
    <row r="299" spans="1:5" x14ac:dyDescent="0.25">
      <c r="A299" s="2" t="s">
        <v>896</v>
      </c>
      <c r="B299" s="2" t="s">
        <v>897</v>
      </c>
      <c r="C299" s="3" t="s">
        <v>898</v>
      </c>
      <c r="D299" s="3" t="str">
        <f ca="1">IFERROR(__xludf.DUMMYFUNCTION("GOOGLETRANSLATE(A299,""fr"",""en"")"),"get up")</f>
        <v>get up</v>
      </c>
      <c r="E299" s="3" t="str">
        <f ca="1">IFERROR(__xludf.DUMMYFUNCTION("GOOGLETRANSLATE(B299,""fr"",""en"")"),"We raise our glasses to toast.")</f>
        <v>We raise our glasses to toast.</v>
      </c>
    </row>
    <row r="300" spans="1:5" x14ac:dyDescent="0.25">
      <c r="A300" s="2" t="s">
        <v>899</v>
      </c>
      <c r="B300" s="2" t="s">
        <v>900</v>
      </c>
      <c r="C300" s="3" t="s">
        <v>901</v>
      </c>
      <c r="D300" s="3" t="str">
        <f ca="1">IFERROR(__xludf.DUMMYFUNCTION("GOOGLETRANSLATE(A300,""fr"",""en"")"),"fix")</f>
        <v>fix</v>
      </c>
      <c r="E300" s="3" t="str">
        <f ca="1">IFERROR(__xludf.DUMMYFUNCTION("GOOGLETRANSLATE(B300,""fr"",""en"")"),"It fixes errors in the code.")</f>
        <v>It fixes errors in the code.</v>
      </c>
    </row>
    <row r="301" spans="1:5" x14ac:dyDescent="0.25">
      <c r="A301" s="2" t="s">
        <v>902</v>
      </c>
      <c r="B301" s="2" t="s">
        <v>903</v>
      </c>
      <c r="C301" s="3" t="s">
        <v>904</v>
      </c>
      <c r="D301" s="3" t="str">
        <f ca="1">IFERROR(__xludf.DUMMYFUNCTION("GOOGLETRANSLATE(A301,""fr"",""en"")"),"convince")</f>
        <v>convince</v>
      </c>
      <c r="E301" s="3" t="str">
        <f ca="1">IFERROR(__xludf.DUMMYFUNCTION("GOOGLETRANSLATE(B301,""fr"",""en"")"),"She convinces her friends to go on vacation together.")</f>
        <v>She convinces her friends to go on vacation together.</v>
      </c>
    </row>
    <row r="302" spans="1:5" x14ac:dyDescent="0.25">
      <c r="A302" s="2" t="s">
        <v>905</v>
      </c>
      <c r="B302" s="2" t="s">
        <v>906</v>
      </c>
      <c r="C302" s="3" t="s">
        <v>907</v>
      </c>
      <c r="D302" s="3" t="str">
        <f ca="1">IFERROR(__xludf.DUMMYFUNCTION("GOOGLETRANSLATE(A302,""fr"",""en"")"),"compare")</f>
        <v>compare</v>
      </c>
      <c r="E302" s="3" t="str">
        <f ca="1">IFERROR(__xludf.DUMMYFUNCTION("GOOGLETRANSLATE(B302,""fr"",""en"")"),"We compare prices before you buy.")</f>
        <v>We compare prices before you buy.</v>
      </c>
    </row>
    <row r="303" spans="1:5" x14ac:dyDescent="0.25">
      <c r="A303" s="2" t="s">
        <v>908</v>
      </c>
      <c r="B303" s="2" t="s">
        <v>909</v>
      </c>
      <c r="C303" s="3" t="s">
        <v>910</v>
      </c>
      <c r="D303" s="3" t="str">
        <f ca="1">IFERROR(__xludf.DUMMYFUNCTION("GOOGLETRANSLATE(A303,""fr"",""en"")"),"overcome")</f>
        <v>overcome</v>
      </c>
      <c r="E303" s="3" t="str">
        <f ca="1">IFERROR(__xludf.DUMMYFUNCTION("GOOGLETRANSLATE(B303,""fr"",""en"")"),"He overcomes his fears with courage.")</f>
        <v>He overcomes his fears with courage.</v>
      </c>
    </row>
    <row r="304" spans="1:5" x14ac:dyDescent="0.25">
      <c r="A304" s="2" t="s">
        <v>911</v>
      </c>
      <c r="B304" s="2" t="s">
        <v>912</v>
      </c>
      <c r="C304" s="3" t="s">
        <v>913</v>
      </c>
      <c r="D304" s="3" t="str">
        <f ca="1">IFERROR(__xludf.DUMMYFUNCTION("GOOGLETRANSLATE(A304,""fr"",""en"")"),"establish")</f>
        <v>establish</v>
      </c>
      <c r="E304" s="3" t="str">
        <f ca="1">IFERROR(__xludf.DUMMYFUNCTION("GOOGLETRANSLATE(B304,""fr"",""en"")"),"We are introducing a new work policy.")</f>
        <v>We are introducing a new work policy.</v>
      </c>
    </row>
    <row r="305" spans="1:5" x14ac:dyDescent="0.25">
      <c r="A305" s="2" t="s">
        <v>914</v>
      </c>
      <c r="B305" s="2" t="s">
        <v>915</v>
      </c>
      <c r="C305" s="3" t="s">
        <v>916</v>
      </c>
      <c r="D305" s="3" t="str">
        <f ca="1">IFERROR(__xludf.DUMMYFUNCTION("GOOGLETRANSLATE(A305,""fr"",""en"")"),"store")</f>
        <v>store</v>
      </c>
      <c r="E305" s="3" t="str">
        <f ca="1">IFERROR(__xludf.DUMMYFUNCTION("GOOGLETRANSLATE(B305,""fr"",""en"")"),"She stores provisions for the winter.")</f>
        <v>She stores provisions for the winter.</v>
      </c>
    </row>
    <row r="306" spans="1:5" x14ac:dyDescent="0.25">
      <c r="A306" s="2" t="s">
        <v>917</v>
      </c>
      <c r="B306" s="2" t="s">
        <v>918</v>
      </c>
      <c r="C306" s="3" t="s">
        <v>919</v>
      </c>
      <c r="D306" s="3" t="str">
        <f ca="1">IFERROR(__xludf.DUMMYFUNCTION("GOOGLETRANSLATE(A306,""fr"",""en"")"),"officer")</f>
        <v>officer</v>
      </c>
      <c r="E306" s="3" t="str">
        <f ca="1">IFERROR(__xludf.DUMMYFUNCTION("GOOGLETRANSLATE(B306,""fr"",""en"")"),"They officiate at the wedding ceremony.")</f>
        <v>They officiate at the wedding ceremony.</v>
      </c>
    </row>
    <row r="307" spans="1:5" x14ac:dyDescent="0.25">
      <c r="A307" s="2" t="s">
        <v>920</v>
      </c>
      <c r="B307" s="2" t="s">
        <v>921</v>
      </c>
      <c r="C307" s="3" t="s">
        <v>922</v>
      </c>
      <c r="D307" s="3" t="str">
        <f ca="1">IFERROR(__xludf.DUMMYFUNCTION("GOOGLETRANSLATE(A307,""fr"",""en"")"),"to announce")</f>
        <v>to announce</v>
      </c>
      <c r="E307" s="3" t="str">
        <f ca="1">IFERROR(__xludf.DUMMYFUNCTION("GOOGLETRANSLATE(B307,""fr"",""en"")"),"We declare our income every year.")</f>
        <v>We declare our income every year.</v>
      </c>
    </row>
    <row r="308" spans="1:5" x14ac:dyDescent="0.25">
      <c r="A308" s="2" t="s">
        <v>923</v>
      </c>
      <c r="B308" s="2" t="s">
        <v>924</v>
      </c>
      <c r="C308" s="3" t="s">
        <v>925</v>
      </c>
      <c r="D308" s="3" t="str">
        <f ca="1">IFERROR(__xludf.DUMMYFUNCTION("GOOGLETRANSLATE(A308,""fr"",""en"")"),"mitigate")</f>
        <v>mitigate</v>
      </c>
      <c r="E308" s="3" t="str">
        <f ca="1">IFERROR(__xludf.DUMMYFUNCTION("GOOGLETRANSLATE(B308,""fr"",""en"")"),"She relieves the pain with medication.")</f>
        <v>She relieves the pain with medication.</v>
      </c>
    </row>
    <row r="309" spans="1:5" x14ac:dyDescent="0.25">
      <c r="A309" s="2" t="s">
        <v>926</v>
      </c>
      <c r="B309" s="2" t="s">
        <v>927</v>
      </c>
      <c r="C309" s="3" t="s">
        <v>928</v>
      </c>
      <c r="D309" s="3" t="str">
        <f ca="1">IFERROR(__xludf.DUMMYFUNCTION("GOOGLETRANSLATE(A309,""fr"",""en"")"),"approve")</f>
        <v>approve</v>
      </c>
      <c r="E309" s="3" t="str">
        <f ca="1">IFERROR(__xludf.DUMMYFUNCTION("GOOGLETRANSLATE(B309,""fr"",""en"")"),"They approve the proposal without hesitation.")</f>
        <v>They approve the proposal without hesitation.</v>
      </c>
    </row>
    <row r="310" spans="1:5" x14ac:dyDescent="0.25">
      <c r="A310" s="2" t="s">
        <v>929</v>
      </c>
      <c r="B310" s="2" t="s">
        <v>930</v>
      </c>
      <c r="C310" s="3" t="s">
        <v>931</v>
      </c>
      <c r="D310" s="3" t="str">
        <f ca="1">IFERROR(__xludf.DUMMYFUNCTION("GOOGLETRANSLATE(A310,""fr"",""en"")"),"print")</f>
        <v>print</v>
      </c>
      <c r="E310" s="3" t="str">
        <f ca="1">IFERROR(__xludf.DUMMYFUNCTION("GOOGLETRANSLATE(B310,""fr"",""en"")"),"We print the documents for the meeting.")</f>
        <v>We print the documents for the meeting.</v>
      </c>
    </row>
    <row r="311" spans="1:5" x14ac:dyDescent="0.25">
      <c r="A311" s="2" t="s">
        <v>932</v>
      </c>
      <c r="B311" s="2" t="s">
        <v>933</v>
      </c>
      <c r="C311" s="3" t="s">
        <v>934</v>
      </c>
      <c r="D311" s="3" t="str">
        <f ca="1">IFERROR(__xludf.DUMMYFUNCTION("GOOGLETRANSLATE(A311,""fr"",""en"")"),"remedy")</f>
        <v>remedy</v>
      </c>
      <c r="E311" s="3" t="str">
        <f ca="1">IFERROR(__xludf.DUMMYFUNCTION("GOOGLETRANSLATE(B311,""fr"",""en"")"),"She fixes technical problems quickly.")</f>
        <v>She fixes technical problems quickly.</v>
      </c>
    </row>
    <row r="312" spans="1:5" x14ac:dyDescent="0.25">
      <c r="A312" s="2" t="s">
        <v>935</v>
      </c>
      <c r="B312" s="2" t="s">
        <v>936</v>
      </c>
      <c r="C312" s="3" t="s">
        <v>937</v>
      </c>
      <c r="D312" s="3" t="str">
        <f ca="1">IFERROR(__xludf.DUMMYFUNCTION("GOOGLETRANSLATE(A312,""fr"",""en"")"),"to clean")</f>
        <v>to clean</v>
      </c>
      <c r="E312" s="3" t="str">
        <f ca="1">IFERROR(__xludf.DUMMYFUNCTION("GOOGLETRANSLATE(B312,""fr"",""en"")"),"They clean the house every Saturday.")</f>
        <v>They clean the house every Saturday.</v>
      </c>
    </row>
    <row r="313" spans="1:5" x14ac:dyDescent="0.25">
      <c r="A313" s="2" t="s">
        <v>938</v>
      </c>
      <c r="B313" s="2" t="s">
        <v>939</v>
      </c>
      <c r="C313" s="3" t="s">
        <v>940</v>
      </c>
      <c r="D313" s="3" t="str">
        <f ca="1">IFERROR(__xludf.DUMMYFUNCTION("GOOGLETRANSLATE(A313,""fr"",""en"")"),"explore")</f>
        <v>explore</v>
      </c>
      <c r="E313" s="3" t="str">
        <f ca="1">IFERROR(__xludf.DUMMYFUNCTION("GOOGLETRANSLATE(B313,""fr"",""en"")"),"We are exploring innovative ideas for the project.")</f>
        <v>We are exploring innovative ideas for the project.</v>
      </c>
    </row>
    <row r="314" spans="1:5" x14ac:dyDescent="0.25">
      <c r="A314" s="2" t="s">
        <v>941</v>
      </c>
      <c r="B314" s="2" t="s">
        <v>942</v>
      </c>
      <c r="C314" s="3" t="s">
        <v>943</v>
      </c>
      <c r="D314" s="3" t="str">
        <f ca="1">IFERROR(__xludf.DUMMYFUNCTION("GOOGLETRANSLATE(A314,""fr"",""en"")"),"invite")</f>
        <v>invite</v>
      </c>
      <c r="E314" s="3" t="str">
        <f ca="1">IFERROR(__xludf.DUMMYFUNCTION("GOOGLETRANSLATE(B314,""fr"",""en"")"),"She invites her friends to dinner.")</f>
        <v>She invites her friends to dinner.</v>
      </c>
    </row>
    <row r="315" spans="1:5" x14ac:dyDescent="0.25">
      <c r="A315" s="2" t="s">
        <v>944</v>
      </c>
      <c r="B315" s="2" t="s">
        <v>945</v>
      </c>
      <c r="C315" s="3" t="s">
        <v>946</v>
      </c>
      <c r="D315" s="3" t="str">
        <f ca="1">IFERROR(__xludf.DUMMYFUNCTION("GOOGLETRANSLATE(A315,""fr"",""en"")"),"to undergo")</f>
        <v>to undergo</v>
      </c>
      <c r="E315" s="3" t="str">
        <f ca="1">IFERROR(__xludf.DUMMYFUNCTION("GOOGLETRANSLATE(B315,""fr"",""en"")"),"They undergo surgery.")</f>
        <v>They undergo surgery.</v>
      </c>
    </row>
    <row r="316" spans="1:5" x14ac:dyDescent="0.25">
      <c r="A316" s="2" t="s">
        <v>947</v>
      </c>
      <c r="B316" s="2" t="s">
        <v>948</v>
      </c>
      <c r="C316" s="3" t="s">
        <v>949</v>
      </c>
      <c r="D316" s="3" t="str">
        <f ca="1">IFERROR(__xludf.DUMMYFUNCTION("GOOGLETRANSLATE(A316,""fr"",""en"")"),"to guide")</f>
        <v>to guide</v>
      </c>
      <c r="E316" s="3" t="str">
        <f ca="1">IFERROR(__xludf.DUMMYFUNCTION("GOOGLETRANSLATE(B316,""fr"",""en"")"),"We guide tourists through the city.")</f>
        <v>We guide tourists through the city.</v>
      </c>
    </row>
    <row r="317" spans="1:5" x14ac:dyDescent="0.25">
      <c r="A317" s="2" t="s">
        <v>950</v>
      </c>
      <c r="B317" s="2" t="s">
        <v>951</v>
      </c>
      <c r="C317" s="3" t="s">
        <v>952</v>
      </c>
      <c r="D317" s="3" t="str">
        <f ca="1">IFERROR(__xludf.DUMMYFUNCTION("GOOGLETRANSLATE(A317,""fr"",""en"")"),"pronounce")</f>
        <v>pronounce</v>
      </c>
      <c r="E317" s="3" t="str">
        <f ca="1">IFERROR(__xludf.DUMMYFUNCTION("GOOGLETRANSLATE(B317,""fr"",""en"")"),"She gives an inspiring speech.")</f>
        <v>She gives an inspiring speech.</v>
      </c>
    </row>
    <row r="318" spans="1:5" x14ac:dyDescent="0.25">
      <c r="A318" s="2" t="s">
        <v>953</v>
      </c>
      <c r="B318" s="2" t="s">
        <v>954</v>
      </c>
      <c r="C318" s="3" t="s">
        <v>955</v>
      </c>
      <c r="D318" s="3" t="str">
        <f ca="1">IFERROR(__xludf.DUMMYFUNCTION("GOOGLETRANSLATE(A318,""fr"",""en"")"),"to optimise")</f>
        <v>to optimise</v>
      </c>
      <c r="E318" s="3" t="str">
        <f ca="1">IFERROR(__xludf.DUMMYFUNCTION("GOOGLETRANSLATE(B318,""fr"",""en"")"),"They optimize the production process.")</f>
        <v>They optimize the production process.</v>
      </c>
    </row>
    <row r="319" spans="1:5" x14ac:dyDescent="0.25">
      <c r="A319" s="2" t="s">
        <v>956</v>
      </c>
      <c r="B319" s="2" t="s">
        <v>957</v>
      </c>
      <c r="C319" s="3" t="s">
        <v>958</v>
      </c>
      <c r="D319" s="3" t="str">
        <f ca="1">IFERROR(__xludf.DUMMYFUNCTION("GOOGLETRANSLATE(A319,""fr"",""en"")"),"to like")</f>
        <v>to like</v>
      </c>
      <c r="E319" s="3" t="str">
        <f ca="1">IFERROR(__xludf.DUMMYFUNCTION("GOOGLETRANSLATE(B319,""fr"",""en"")"),"We love spending time with family.")</f>
        <v>We love spending time with family.</v>
      </c>
    </row>
    <row r="320" spans="1:5" x14ac:dyDescent="0.25">
      <c r="A320" s="2" t="s">
        <v>959</v>
      </c>
      <c r="B320" s="2" t="s">
        <v>960</v>
      </c>
      <c r="C320" s="3" t="s">
        <v>961</v>
      </c>
      <c r="D320" s="3" t="str">
        <f ca="1">IFERROR(__xludf.DUMMYFUNCTION("GOOGLETRANSLATE(A320,""fr"",""en"")"),"proceed")</f>
        <v>proceed</v>
      </c>
      <c r="E320" s="3" t="str">
        <f ca="1">IFERROR(__xludf.DUMMYFUNCTION("GOOGLETRANSLATE(B320,""fr"",""en"")"),"It carries out the necessary checks.")</f>
        <v>It carries out the necessary checks.</v>
      </c>
    </row>
    <row r="321" spans="1:5" x14ac:dyDescent="0.25">
      <c r="A321" s="2" t="s">
        <v>962</v>
      </c>
      <c r="B321" s="2" t="s">
        <v>963</v>
      </c>
      <c r="C321" s="3" t="s">
        <v>964</v>
      </c>
      <c r="D321" s="3" t="str">
        <f ca="1">IFERROR(__xludf.DUMMYFUNCTION("GOOGLETRANSLATE(A321,""fr"",""en"")"),"give up")</f>
        <v>give up</v>
      </c>
      <c r="E321" s="3" t="str">
        <f ca="1">IFERROR(__xludf.DUMMYFUNCTION("GOOGLETRANSLATE(B321,""fr"",""en"")"),"They abandoned the project after several unsuccessful attempts.")</f>
        <v>They abandoned the project after several unsuccessful attempts.</v>
      </c>
    </row>
    <row r="322" spans="1:5" x14ac:dyDescent="0.25">
      <c r="A322" s="2" t="s">
        <v>965</v>
      </c>
      <c r="B322" s="2" t="s">
        <v>966</v>
      </c>
      <c r="C322" s="3" t="s">
        <v>967</v>
      </c>
      <c r="D322" s="3" t="str">
        <f ca="1">IFERROR(__xludf.DUMMYFUNCTION("GOOGLETRANSLATE(A322,""fr"",""en"")"),"appreciate")</f>
        <v>appreciate</v>
      </c>
      <c r="E322" s="3" t="str">
        <f ca="1">IFERROR(__xludf.DUMMYFUNCTION("GOOGLETRANSLATE(B322,""fr"",""en"")"),"We appreciate the beauty of the landscape.")</f>
        <v>We appreciate the beauty of the landscape.</v>
      </c>
    </row>
    <row r="323" spans="1:5" x14ac:dyDescent="0.25">
      <c r="A323" s="2" t="s">
        <v>968</v>
      </c>
      <c r="B323" s="2" t="s">
        <v>969</v>
      </c>
      <c r="C323" s="3" t="s">
        <v>970</v>
      </c>
      <c r="D323" s="3" t="str">
        <f ca="1">IFERROR(__xludf.DUMMYFUNCTION("GOOGLETRANSLATE(A323,""fr"",""en"")"),"affect")</f>
        <v>affect</v>
      </c>
      <c r="E323" s="3" t="str">
        <f ca="1">IFERROR(__xludf.DUMMYFUNCTION("GOOGLETRANSLATE(B323,""fr"",""en"")"),"It allocates resources fairly.")</f>
        <v>It allocates resources fairly.</v>
      </c>
    </row>
    <row r="324" spans="1:5" x14ac:dyDescent="0.25">
      <c r="A324" s="2" t="s">
        <v>971</v>
      </c>
      <c r="B324" s="2" t="s">
        <v>972</v>
      </c>
      <c r="C324" s="3" t="s">
        <v>973</v>
      </c>
      <c r="D324" s="3" t="str">
        <f ca="1">IFERROR(__xludf.DUMMYFUNCTION("GOOGLETRANSLATE(A324,""fr"",""en"")"),"to devote")</f>
        <v>to devote</v>
      </c>
      <c r="E324" s="3" t="str">
        <f ca="1">IFERROR(__xludf.DUMMYFUNCTION("GOOGLETRANSLATE(B324,""fr"",""en"")"),"They devote time to their hobbies.")</f>
        <v>They devote time to their hobbies.</v>
      </c>
    </row>
    <row r="325" spans="1:5" x14ac:dyDescent="0.25">
      <c r="A325" s="2" t="s">
        <v>974</v>
      </c>
      <c r="B325" s="2" t="s">
        <v>975</v>
      </c>
      <c r="C325" s="3" t="s">
        <v>976</v>
      </c>
      <c r="D325" s="3" t="str">
        <f ca="1">IFERROR(__xludf.DUMMYFUNCTION("GOOGLETRANSLATE(A325,""fr"",""en"")"),"to exchange")</f>
        <v>to exchange</v>
      </c>
      <c r="E325" s="3" t="str">
        <f ca="1">IFERROR(__xludf.DUMMYFUNCTION("GOOGLETRANSLATE(B325,""fr"",""en"")"),"We exchange ideas at meetings.")</f>
        <v>We exchange ideas at meetings.</v>
      </c>
    </row>
    <row r="326" spans="1:5" x14ac:dyDescent="0.25">
      <c r="A326" s="2" t="s">
        <v>977</v>
      </c>
      <c r="B326" s="2" t="s">
        <v>978</v>
      </c>
      <c r="C326" s="3" t="s">
        <v>979</v>
      </c>
      <c r="D326" s="3" t="str">
        <f ca="1">IFERROR(__xludf.DUMMYFUNCTION("GOOGLETRANSLATE(A326,""fr"",""en"")"),"to accompany")</f>
        <v>to accompany</v>
      </c>
      <c r="E326" s="3" t="str">
        <f ca="1">IFERROR(__xludf.DUMMYFUNCTION("GOOGLETRANSLATE(B326,""fr"",""en"")"),"She accompanies her friend to the hospital.")</f>
        <v>She accompanies her friend to the hospital.</v>
      </c>
    </row>
    <row r="327" spans="1:5" x14ac:dyDescent="0.25">
      <c r="A327" s="2" t="s">
        <v>980</v>
      </c>
      <c r="B327" s="2" t="s">
        <v>981</v>
      </c>
      <c r="C327" s="3" t="s">
        <v>982</v>
      </c>
      <c r="D327" s="3" t="str">
        <f ca="1">IFERROR(__xludf.DUMMYFUNCTION("GOOGLETRANSLATE(A327,""fr"",""en"")"),"extract")</f>
        <v>extract</v>
      </c>
      <c r="E327" s="3" t="str">
        <f ca="1">IFERROR(__xludf.DUMMYFUNCTION("GOOGLETRANSLATE(B327,""fr"",""en"")"),"They extract minerals from mines.")</f>
        <v>They extract minerals from mines.</v>
      </c>
    </row>
    <row r="328" spans="1:5" x14ac:dyDescent="0.25">
      <c r="A328" s="2" t="s">
        <v>983</v>
      </c>
      <c r="B328" s="2" t="s">
        <v>984</v>
      </c>
      <c r="C328" s="3" t="s">
        <v>985</v>
      </c>
      <c r="D328" s="3" t="str">
        <f ca="1">IFERROR(__xludf.DUMMYFUNCTION("GOOGLETRANSLATE(A328,""fr"",""en"")"),"beat")</f>
        <v>beat</v>
      </c>
      <c r="E328" s="3" t="str">
        <f ca="1">IFERROR(__xludf.DUMMYFUNCTION("GOOGLETRANSLATE(B328,""fr"",""en"")"),"We are breaking sales records this year.")</f>
        <v>We are breaking sales records this year.</v>
      </c>
    </row>
    <row r="329" spans="1:5" x14ac:dyDescent="0.25">
      <c r="A329" s="2" t="s">
        <v>986</v>
      </c>
      <c r="B329" s="2" t="s">
        <v>987</v>
      </c>
      <c r="C329" s="3" t="s">
        <v>988</v>
      </c>
      <c r="D329" s="3" t="str">
        <f ca="1">IFERROR(__xludf.DUMMYFUNCTION("GOOGLETRANSLATE(A329,""fr"",""en"")"),"to raise awareness")</f>
        <v>to raise awareness</v>
      </c>
      <c r="E329" s="3" t="str">
        <f ca="1">IFERROR(__xludf.DUMMYFUNCTION("GOOGLETRANSLATE(B329,""fr"",""en"")"),"It raises public awareness of environmental issues.")</f>
        <v>It raises public awareness of environmental issues.</v>
      </c>
    </row>
    <row r="330" spans="1:5" x14ac:dyDescent="0.25">
      <c r="A330" s="2" t="s">
        <v>989</v>
      </c>
      <c r="B330" s="2" t="s">
        <v>990</v>
      </c>
      <c r="C330" s="3" t="s">
        <v>991</v>
      </c>
      <c r="D330" s="3" t="str">
        <f ca="1">IFERROR(__xludf.DUMMYFUNCTION("GOOGLETRANSLATE(A330,""fr"",""en"")"),"announce")</f>
        <v>announce</v>
      </c>
      <c r="E330" s="3" t="str">
        <f ca="1">IFERROR(__xludf.DUMMYFUNCTION("GOOGLETRANSLATE(B330,""fr"",""en"")"),"They announce the launch of the new product.")</f>
        <v>They announce the launch of the new product.</v>
      </c>
    </row>
    <row r="331" spans="1:5" x14ac:dyDescent="0.25">
      <c r="A331" s="2" t="s">
        <v>992</v>
      </c>
      <c r="B331" s="2" t="s">
        <v>993</v>
      </c>
      <c r="C331" s="3" t="s">
        <v>994</v>
      </c>
      <c r="D331" s="3" t="str">
        <f ca="1">IFERROR(__xludf.DUMMYFUNCTION("GOOGLETRANSLATE(A331,""fr"",""en"")"),"mobilize")</f>
        <v>mobilize</v>
      </c>
      <c r="E331" s="3" t="str">
        <f ca="1">IFERROR(__xludf.DUMMYFUNCTION("GOOGLETRANSLATE(B331,""fr"",""en"")"),"We mobilize the necessary resources for the project.")</f>
        <v>We mobilize the necessary resources for the project.</v>
      </c>
    </row>
    <row r="332" spans="1:5" x14ac:dyDescent="0.25">
      <c r="A332" s="2" t="s">
        <v>995</v>
      </c>
      <c r="B332" s="2" t="s">
        <v>996</v>
      </c>
      <c r="C332" s="3" t="s">
        <v>997</v>
      </c>
      <c r="D332" s="3" t="str">
        <f ca="1">IFERROR(__xludf.DUMMYFUNCTION("GOOGLETRANSLATE(A332,""fr"",""en"")"),"Cancel")</f>
        <v>Cancel</v>
      </c>
      <c r="E332" s="3" t="str">
        <f ca="1">IFERROR(__xludf.DUMMYFUNCTION("GOOGLETRANSLATE(B332,""fr"",""en"")"),"She cancels the hotel reservation.")</f>
        <v>She cancels the hotel reservation.</v>
      </c>
    </row>
    <row r="333" spans="1:5" x14ac:dyDescent="0.25">
      <c r="A333" s="2" t="s">
        <v>998</v>
      </c>
      <c r="B333" s="2" t="s">
        <v>999</v>
      </c>
      <c r="C333" s="3" t="s">
        <v>1000</v>
      </c>
      <c r="D333" s="3" t="str">
        <f ca="1">IFERROR(__xludf.DUMMYFUNCTION("GOOGLETRANSLATE(A333,""fr"",""en"")"),"convert")</f>
        <v>convert</v>
      </c>
      <c r="E333" s="3" t="str">
        <f ca="1">IFERROR(__xludf.DUMMYFUNCTION("GOOGLETRANSLATE(B333,""fr"",""en"")"),"They convert files to PDF.")</f>
        <v>They convert files to PDF.</v>
      </c>
    </row>
    <row r="334" spans="1:5" x14ac:dyDescent="0.25">
      <c r="A334" s="2" t="s">
        <v>1001</v>
      </c>
      <c r="B334" s="2" t="s">
        <v>1002</v>
      </c>
      <c r="C334" s="3" t="s">
        <v>1003</v>
      </c>
      <c r="D334" s="3" t="str">
        <f ca="1">IFERROR(__xludf.DUMMYFUNCTION("GOOGLETRANSLATE(A334,""fr"",""en"")"),"to fill in")</f>
        <v>to fill in</v>
      </c>
      <c r="E334" s="3" t="str">
        <f ca="1">IFERROR(__xludf.DUMMYFUNCTION("GOOGLETRANSLATE(B334,""fr"",""en"")"),"We fill the gaps in our knowledge.")</f>
        <v>We fill the gaps in our knowledge.</v>
      </c>
    </row>
    <row r="335" spans="1:5" x14ac:dyDescent="0.25">
      <c r="A335" s="2" t="s">
        <v>1004</v>
      </c>
      <c r="B335" s="2" t="s">
        <v>1005</v>
      </c>
      <c r="C335" s="3" t="s">
        <v>1006</v>
      </c>
      <c r="D335" s="3" t="str">
        <f ca="1">IFERROR(__xludf.DUMMYFUNCTION("GOOGLETRANSLATE(A335,""fr"",""en"")"),"require")</f>
        <v>require</v>
      </c>
      <c r="E335" s="3" t="str">
        <f ca="1">IFERROR(__xludf.DUMMYFUNCTION("GOOGLETRANSLATE(B335,""fr"",""en"")"),"She demands explanations from her employee.")</f>
        <v>She demands explanations from her employee.</v>
      </c>
    </row>
    <row r="336" spans="1:5" x14ac:dyDescent="0.25">
      <c r="A336" s="2" t="s">
        <v>1007</v>
      </c>
      <c r="B336" s="2" t="s">
        <v>1008</v>
      </c>
      <c r="C336" s="3" t="s">
        <v>1009</v>
      </c>
      <c r="D336" s="3" t="str">
        <f ca="1">IFERROR(__xludf.DUMMYFUNCTION("GOOGLETRANSLATE(A336,""fr"",""en"")"),"restore")</f>
        <v>restore</v>
      </c>
      <c r="E336" s="3" t="str">
        <f ca="1">IFERROR(__xludf.DUMMYFUNCTION("GOOGLETRANSLATE(B336,""fr"",""en"")"),"They restore order after the crisis.")</f>
        <v>They restore order after the crisis.</v>
      </c>
    </row>
    <row r="337" spans="1:5" x14ac:dyDescent="0.25">
      <c r="A337" s="2" t="s">
        <v>1010</v>
      </c>
      <c r="B337" s="2" t="s">
        <v>1011</v>
      </c>
      <c r="C337" s="3" t="s">
        <v>1012</v>
      </c>
      <c r="D337" s="3" t="str">
        <f ca="1">IFERROR(__xludf.DUMMYFUNCTION("GOOGLETRANSLATE(A337,""fr"",""en"")"),"to progress")</f>
        <v>to progress</v>
      </c>
      <c r="E337" s="3" t="str">
        <f ca="1">IFERROR(__xludf.DUMMYFUNCTION("GOOGLETRANSLATE(B337,""fr"",""en"")"),"We are progressing quickly in our studies.")</f>
        <v>We are progressing quickly in our studies.</v>
      </c>
    </row>
    <row r="338" spans="1:5" x14ac:dyDescent="0.25">
      <c r="A338" s="2" t="s">
        <v>1013</v>
      </c>
      <c r="B338" s="2" t="s">
        <v>1014</v>
      </c>
      <c r="C338" s="3" t="s">
        <v>1015</v>
      </c>
      <c r="D338" s="3" t="str">
        <f ca="1">IFERROR(__xludf.DUMMYFUNCTION("GOOGLETRANSLATE(A338,""fr"",""en"")"),"hide")</f>
        <v>hide</v>
      </c>
      <c r="E338" s="3" t="str">
        <f ca="1">IFERROR(__xludf.DUMMYFUNCTION("GOOGLETRANSLATE(B338,""fr"",""en"")"),"She hides her emotions behind a smile.")</f>
        <v>She hides her emotions behind a smile.</v>
      </c>
    </row>
    <row r="339" spans="1:5" x14ac:dyDescent="0.25">
      <c r="A339" s="2" t="s">
        <v>1016</v>
      </c>
      <c r="B339" s="2" t="s">
        <v>1017</v>
      </c>
      <c r="C339" s="3" t="s">
        <v>1018</v>
      </c>
      <c r="D339" s="3" t="str">
        <f ca="1">IFERROR(__xludf.DUMMYFUNCTION("GOOGLETRANSLATE(A339,""fr"",""en"")"),"burn")</f>
        <v>burn</v>
      </c>
      <c r="E339" s="3" t="str">
        <f ca="1">IFERROR(__xludf.DUMMYFUNCTION("GOOGLETRANSLATE(B339,""fr"",""en"")"),"They burn the dead leaves in the garden.")</f>
        <v>They burn the dead leaves in the garden.</v>
      </c>
    </row>
    <row r="340" spans="1:5" x14ac:dyDescent="0.25">
      <c r="A340" s="2" t="s">
        <v>1019</v>
      </c>
      <c r="B340" s="2" t="s">
        <v>1020</v>
      </c>
      <c r="C340" s="3" t="s">
        <v>1021</v>
      </c>
      <c r="D340" s="3" t="str">
        <f ca="1">IFERROR(__xludf.DUMMYFUNCTION("GOOGLETRANSLATE(A340,""fr"",""en"")"),"take away")</f>
        <v>take away</v>
      </c>
      <c r="E340" s="3" t="str">
        <f ca="1">IFERROR(__xludf.DUMMYFUNCTION("GOOGLETRANSLATE(B340,""fr"",""en"")"),"We take the children to the zoo.")</f>
        <v>We take the children to the zoo.</v>
      </c>
    </row>
    <row r="341" spans="1:5" x14ac:dyDescent="0.25">
      <c r="A341" s="2" t="s">
        <v>1022</v>
      </c>
      <c r="B341" s="2" t="s">
        <v>1023</v>
      </c>
      <c r="C341" s="3" t="s">
        <v>1024</v>
      </c>
      <c r="D341" s="3" t="str">
        <f ca="1">IFERROR(__xludf.DUMMYFUNCTION("GOOGLETRANSLATE(A341,""fr"",""en"")"),"to forbid")</f>
        <v>to forbid</v>
      </c>
      <c r="E341" s="3" t="str">
        <f ca="1">IFERROR(__xludf.DUMMYFUNCTION("GOOGLETRANSLATE(B341,""fr"",""en"")"),"It prohibits the use of telephones in class.")</f>
        <v>It prohibits the use of telephones in class.</v>
      </c>
    </row>
    <row r="342" spans="1:5" x14ac:dyDescent="0.25">
      <c r="A342" s="2" t="s">
        <v>1025</v>
      </c>
      <c r="B342" s="2" t="s">
        <v>1026</v>
      </c>
      <c r="C342" s="3" t="s">
        <v>1027</v>
      </c>
      <c r="D342" s="3" t="str">
        <f ca="1">IFERROR(__xludf.DUMMYFUNCTION("GOOGLETRANSLATE(A342,""fr"",""en"")"),"address")</f>
        <v>address</v>
      </c>
      <c r="E342" s="3" t="str">
        <f ca="1">IFERROR(__xludf.DUMMYFUNCTION("GOOGLETRANSLATE(B342,""fr"",""en"")"),"They address their questions to the director.")</f>
        <v>They address their questions to the director.</v>
      </c>
    </row>
    <row r="343" spans="1:5" x14ac:dyDescent="0.25">
      <c r="A343" s="2" t="s">
        <v>1028</v>
      </c>
      <c r="B343" s="2" t="s">
        <v>1029</v>
      </c>
      <c r="C343" s="3" t="s">
        <v>1030</v>
      </c>
      <c r="D343" s="3" t="str">
        <f ca="1">IFERROR(__xludf.DUMMYFUNCTION("GOOGLETRANSLATE(A343,""fr"",""en"")"),"to cross")</f>
        <v>to cross</v>
      </c>
      <c r="E343" s="3" t="str">
        <f ca="1">IFERROR(__xludf.DUMMYFUNCTION("GOOGLETRANSLATE(B343,""fr"",""en"")"),"We cross the street carefully.")</f>
        <v>We cross the street carefully.</v>
      </c>
    </row>
    <row r="344" spans="1:5" x14ac:dyDescent="0.25">
      <c r="A344" s="2" t="s">
        <v>1031</v>
      </c>
      <c r="B344" s="2" t="s">
        <v>1032</v>
      </c>
      <c r="C344" s="3" t="s">
        <v>1033</v>
      </c>
      <c r="D344" s="3" t="str">
        <f ca="1">IFERROR(__xludf.DUMMYFUNCTION("GOOGLETRANSLATE(A344,""fr"",""en"")"),"to incite")</f>
        <v>to incite</v>
      </c>
      <c r="E344" s="3" t="str">
        <f ca="1">IFERROR(__xludf.DUMMYFUNCTION("GOOGLETRANSLATE(B344,""fr"",""en"")"),"She encourages students to participate actively.")</f>
        <v>She encourages students to participate actively.</v>
      </c>
    </row>
    <row r="345" spans="1:5" x14ac:dyDescent="0.25">
      <c r="A345" s="2" t="s">
        <v>1034</v>
      </c>
      <c r="B345" s="2" t="s">
        <v>1035</v>
      </c>
      <c r="C345" s="3" t="s">
        <v>1036</v>
      </c>
      <c r="D345" s="3" t="str">
        <f ca="1">IFERROR(__xludf.DUMMYFUNCTION("GOOGLETRANSLATE(A345,""fr"",""en"")"),"repeat")</f>
        <v>repeat</v>
      </c>
      <c r="E345" s="3" t="str">
        <f ca="1">IFERROR(__xludf.DUMMYFUNCTION("GOOGLETRANSLATE(B345,""fr"",""en"")"),"They rehearse the play every day.")</f>
        <v>They rehearse the play every day.</v>
      </c>
    </row>
    <row r="346" spans="1:5" x14ac:dyDescent="0.25">
      <c r="A346" s="2" t="s">
        <v>1037</v>
      </c>
      <c r="B346" s="2" t="s">
        <v>1038</v>
      </c>
      <c r="C346" s="3" t="s">
        <v>1039</v>
      </c>
      <c r="D346" s="3" t="str">
        <f ca="1">IFERROR(__xludf.DUMMYFUNCTION("GOOGLETRANSLATE(A346,""fr"",""en"")"),"enable")</f>
        <v>enable</v>
      </c>
      <c r="E346" s="3" t="str">
        <f ca="1">IFERROR(__xludf.DUMMYFUNCTION("GOOGLETRANSLATE(B346,""fr"",""en"")"),"We are enabling new features of the application.")</f>
        <v>We are enabling new features of the application.</v>
      </c>
    </row>
    <row r="347" spans="1:5" x14ac:dyDescent="0.25">
      <c r="A347" s="2" t="s">
        <v>1040</v>
      </c>
      <c r="B347" s="2" t="s">
        <v>1041</v>
      </c>
      <c r="C347" s="3" t="s">
        <v>1042</v>
      </c>
      <c r="D347" s="3" t="str">
        <f ca="1">IFERROR(__xludf.DUMMYFUNCTION("GOOGLETRANSLATE(A347,""fr"",""en"")"),"quote")</f>
        <v>quote</v>
      </c>
      <c r="E347" s="3" t="str">
        <f ca="1">IFERROR(__xludf.DUMMYFUNCTION("GOOGLETRANSLATE(B347,""fr"",""en"")"),"She cites examples to illustrate her point.")</f>
        <v>She cites examples to illustrate her point.</v>
      </c>
    </row>
    <row r="348" spans="1:5" x14ac:dyDescent="0.25">
      <c r="A348" s="2" t="s">
        <v>1043</v>
      </c>
      <c r="B348" s="2" t="s">
        <v>1044</v>
      </c>
      <c r="C348" s="3" t="s">
        <v>1045</v>
      </c>
      <c r="D348" s="3" t="str">
        <f ca="1">IFERROR(__xludf.DUMMYFUNCTION("GOOGLETRANSLATE(A348,""fr"",""en"")"),"judge")</f>
        <v>judge</v>
      </c>
      <c r="E348" s="3" t="str">
        <f ca="1">IFERROR(__xludf.DUMMYFUNCTION("GOOGLETRANSLATE(B348,""fr"",""en"")"),"They judge the competition impartially.")</f>
        <v>They judge the competition impartially.</v>
      </c>
    </row>
    <row r="349" spans="1:5" x14ac:dyDescent="0.25">
      <c r="A349" s="2" t="s">
        <v>1046</v>
      </c>
      <c r="B349" s="2" t="s">
        <v>1047</v>
      </c>
      <c r="C349" s="3" t="s">
        <v>1048</v>
      </c>
      <c r="D349" s="3" t="str">
        <f ca="1">IFERROR(__xludf.DUMMYFUNCTION("GOOGLETRANSLATE(A349,""fr"",""en"")"),"throw")</f>
        <v>throw</v>
      </c>
      <c r="E349" s="3" t="str">
        <f ca="1">IFERROR(__xludf.DUMMYFUNCTION("GOOGLETRANSLATE(B349,""fr"",""en"")"),"We throw the waste in the trash.")</f>
        <v>We throw the waste in the trash.</v>
      </c>
    </row>
    <row r="350" spans="1:5" x14ac:dyDescent="0.25">
      <c r="A350" s="2" t="s">
        <v>1049</v>
      </c>
      <c r="B350" s="2" t="s">
        <v>1050</v>
      </c>
      <c r="C350" s="3" t="s">
        <v>1051</v>
      </c>
      <c r="D350" s="3" t="str">
        <f ca="1">IFERROR(__xludf.DUMMYFUNCTION("GOOGLETRANSLATE(A350,""fr"",""en"")"),"floor")</f>
        <v>floor</v>
      </c>
      <c r="E350" s="3" t="str">
        <f ca="1">IFERROR(__xludf.DUMMYFUNCTION("GOOGLETRANSLATE(B350,""fr"",""en"")"),"She is working on an artistic project.")</f>
        <v>She is working on an artistic project.</v>
      </c>
    </row>
    <row r="351" spans="1:5" x14ac:dyDescent="0.25">
      <c r="A351" s="2" t="s">
        <v>1052</v>
      </c>
      <c r="B351" s="2" t="s">
        <v>1053</v>
      </c>
      <c r="C351" s="3" t="s">
        <v>1054</v>
      </c>
      <c r="D351" s="3" t="str">
        <f ca="1">IFERROR(__xludf.DUMMYFUNCTION("GOOGLETRANSLATE(A351,""fr"",""en"")"),"consolidate")</f>
        <v>consolidate</v>
      </c>
      <c r="E351" s="3" t="str">
        <f ca="1">IFERROR(__xludf.DUMMYFUNCTION("GOOGLETRANSLATE(B351,""fr"",""en"")"),"They are consolidating their position in the market.")</f>
        <v>They are consolidating their position in the market.</v>
      </c>
    </row>
    <row r="352" spans="1:5" x14ac:dyDescent="0.25">
      <c r="A352" s="2" t="s">
        <v>1055</v>
      </c>
      <c r="B352" s="2" t="s">
        <v>1056</v>
      </c>
      <c r="C352" s="3" t="s">
        <v>1057</v>
      </c>
      <c r="D352" s="3" t="str">
        <f ca="1">IFERROR(__xludf.DUMMYFUNCTION("GOOGLETRANSLATE(A352,""fr"",""en"")"),"imagine")</f>
        <v>imagine</v>
      </c>
      <c r="E352" s="3" t="str">
        <f ca="1">IFERROR(__xludf.DUMMYFUNCTION("GOOGLETRANSLATE(B352,""fr"",""en"")"),"We imagine creative solutions.")</f>
        <v>We imagine creative solutions.</v>
      </c>
    </row>
    <row r="353" spans="1:5" x14ac:dyDescent="0.25">
      <c r="A353" s="2" t="s">
        <v>1058</v>
      </c>
      <c r="B353" s="2" t="s">
        <v>1059</v>
      </c>
      <c r="C353" s="3" t="s">
        <v>1060</v>
      </c>
      <c r="D353" s="3" t="str">
        <f ca="1">IFERROR(__xludf.DUMMYFUNCTION("GOOGLETRANSLATE(A353,""fr"",""en"")"),"to come down")</f>
        <v>to come down</v>
      </c>
      <c r="E353" s="3" t="str">
        <f ca="1">IFERROR(__xludf.DUMMYFUNCTION("GOOGLETRANSLATE(B353,""fr"",""en"")"),"She walks down the stairs slowly.")</f>
        <v>She walks down the stairs slowly.</v>
      </c>
    </row>
    <row r="354" spans="1:5" x14ac:dyDescent="0.25">
      <c r="A354" s="2" t="s">
        <v>1061</v>
      </c>
      <c r="B354" s="2" t="s">
        <v>1062</v>
      </c>
      <c r="C354" s="3" t="s">
        <v>1063</v>
      </c>
      <c r="D354" s="3" t="str">
        <f ca="1">IFERROR(__xludf.DUMMYFUNCTION("GOOGLETRANSLATE(A354,""fr"",""en"")"),"discuss")</f>
        <v>discuss</v>
      </c>
      <c r="E354" s="3" t="str">
        <f ca="1">IFERROR(__xludf.DUMMYFUNCTION("GOOGLETRANSLATE(B354,""fr"",""en"")"),"They debate the pros and cons.")</f>
        <v>They debate the pros and cons.</v>
      </c>
    </row>
    <row r="355" spans="1:5" x14ac:dyDescent="0.25">
      <c r="A355" s="2" t="s">
        <v>1064</v>
      </c>
      <c r="B355" s="2" t="s">
        <v>1065</v>
      </c>
      <c r="C355" s="3" t="s">
        <v>1066</v>
      </c>
      <c r="D355" s="3" t="str">
        <f ca="1">IFERROR(__xludf.DUMMYFUNCTION("GOOGLETRANSLATE(A355,""fr"",""en"")"),"insert")</f>
        <v>insert</v>
      </c>
      <c r="E355" s="3" t="str">
        <f ca="1">IFERROR(__xludf.DUMMYFUNCTION("GOOGLETRANSLATE(B355,""fr"",""en"")"),"We insert the key into the lock.")</f>
        <v>We insert the key into the lock.</v>
      </c>
    </row>
    <row r="356" spans="1:5" x14ac:dyDescent="0.25">
      <c r="A356" s="2" t="s">
        <v>1067</v>
      </c>
      <c r="B356" s="2" t="s">
        <v>1068</v>
      </c>
      <c r="C356" s="3" t="s">
        <v>1069</v>
      </c>
      <c r="D356" s="3" t="str">
        <f ca="1">IFERROR(__xludf.DUMMYFUNCTION("GOOGLETRANSLATE(A356,""fr"",""en"")"),"admit")</f>
        <v>admit</v>
      </c>
      <c r="E356" s="3" t="str">
        <f ca="1">IFERROR(__xludf.DUMMYFUNCTION("GOOGLETRANSLATE(B356,""fr"",""en"")"),"She admits her mistakes with sincerity.")</f>
        <v>She admits her mistakes with sincerity.</v>
      </c>
    </row>
    <row r="357" spans="1:5" x14ac:dyDescent="0.25">
      <c r="A357" s="2" t="s">
        <v>1070</v>
      </c>
      <c r="B357" s="2" t="s">
        <v>1071</v>
      </c>
      <c r="C357" s="3" t="s">
        <v>1072</v>
      </c>
      <c r="D357" s="3" t="str">
        <f ca="1">IFERROR(__xludf.DUMMYFUNCTION("GOOGLETRANSLATE(A357,""fr"",""en"")"),"to book")</f>
        <v>to book</v>
      </c>
      <c r="E357" s="3" t="str">
        <f ca="1">IFERROR(__xludf.DUMMYFUNCTION("GOOGLETRANSLATE(B357,""fr"",""en"")"),"They reserve a table for two.")</f>
        <v>They reserve a table for two.</v>
      </c>
    </row>
    <row r="358" spans="1:5" x14ac:dyDescent="0.25">
      <c r="A358" s="2" t="s">
        <v>1073</v>
      </c>
      <c r="B358" s="2" t="s">
        <v>1074</v>
      </c>
      <c r="C358" s="3" t="s">
        <v>1075</v>
      </c>
      <c r="D358" s="3" t="str">
        <f ca="1">IFERROR(__xludf.DUMMYFUNCTION("GOOGLETRANSLATE(A358,""fr"",""en"")"),"compensate")</f>
        <v>compensate</v>
      </c>
      <c r="E358" s="3" t="str">
        <f ca="1">IFERROR(__xludf.DUMMYFUNCTION("GOOGLETRANSLATE(B358,""fr"",""en"")"),"We compensate for overtime.")</f>
        <v>We compensate for overtime.</v>
      </c>
    </row>
    <row r="359" spans="1:5" x14ac:dyDescent="0.25">
      <c r="A359" s="2" t="s">
        <v>1076</v>
      </c>
      <c r="B359" s="2" t="s">
        <v>1077</v>
      </c>
      <c r="C359" s="3" t="s">
        <v>1078</v>
      </c>
      <c r="D359" s="3" t="str">
        <f ca="1">IFERROR(__xludf.DUMMYFUNCTION("GOOGLETRANSLATE(A359,""fr"",""en"")"),"survive")</f>
        <v>survive</v>
      </c>
      <c r="E359" s="3" t="str">
        <f ca="1">IFERROR(__xludf.DUMMYFUNCTION("GOOGLETRANSLATE(B359,""fr"",""en"")"),"She survives a dangerous situation.")</f>
        <v>She survives a dangerous situation.</v>
      </c>
    </row>
    <row r="360" spans="1:5" x14ac:dyDescent="0.25">
      <c r="A360" s="2" t="s">
        <v>1079</v>
      </c>
      <c r="B360" s="2" t="s">
        <v>1080</v>
      </c>
      <c r="C360" s="3" t="s">
        <v>1081</v>
      </c>
      <c r="D360" s="3" t="str">
        <f ca="1">IFERROR(__xludf.DUMMYFUNCTION("GOOGLETRANSLATE(A360,""fr"",""en"")"),"to travel")</f>
        <v>to travel</v>
      </c>
      <c r="E360" s="3" t="str">
        <f ca="1">IFERROR(__xludf.DUMMYFUNCTION("GOOGLETRANSLATE(B360,""fr"",""en"")"),"They travel around the world.")</f>
        <v>They travel around the world.</v>
      </c>
    </row>
    <row r="361" spans="1:5" x14ac:dyDescent="0.25">
      <c r="A361" s="2" t="s">
        <v>1082</v>
      </c>
      <c r="B361" s="2" t="s">
        <v>1083</v>
      </c>
      <c r="C361" s="3" t="s">
        <v>1084</v>
      </c>
      <c r="D361" s="3" t="str">
        <f ca="1">IFERROR(__xludf.DUMMYFUNCTION("GOOGLETRANSLATE(A361,""fr"",""en"")"),"focus")</f>
        <v>focus</v>
      </c>
      <c r="E361" s="3" t="str">
        <f ca="1">IFERROR(__xludf.DUMMYFUNCTION("GOOGLETRANSLATE(B361,""fr"",""en"")"),"We focus our efforts on the essentials.")</f>
        <v>We focus our efforts on the essentials.</v>
      </c>
    </row>
    <row r="362" spans="1:5" x14ac:dyDescent="0.25">
      <c r="A362" s="2" t="s">
        <v>1085</v>
      </c>
      <c r="B362" s="2" t="s">
        <v>1086</v>
      </c>
      <c r="C362" s="3" t="s">
        <v>1087</v>
      </c>
      <c r="D362" s="3" t="str">
        <f ca="1">IFERROR(__xludf.DUMMYFUNCTION("GOOGLETRANSLATE(A362,""fr"",""en"")"),"load")</f>
        <v>load</v>
      </c>
      <c r="E362" s="3" t="str">
        <f ca="1">IFERROR(__xludf.DUMMYFUNCTION("GOOGLETRANSLATE(B362,""fr"",""en"")"),"She loads the packages into the car.")</f>
        <v>She loads the packages into the car.</v>
      </c>
    </row>
    <row r="363" spans="1:5" x14ac:dyDescent="0.25">
      <c r="A363" s="2" t="s">
        <v>1088</v>
      </c>
      <c r="B363" s="2" t="s">
        <v>1089</v>
      </c>
      <c r="C363" s="3" t="s">
        <v>1090</v>
      </c>
      <c r="D363" s="3" t="str">
        <f ca="1">IFERROR(__xludf.DUMMYFUNCTION("GOOGLETRANSLATE(A363,""fr"",""en"")"),"harmonize")</f>
        <v>harmonize</v>
      </c>
      <c r="E363" s="3" t="str">
        <f ca="1">IFERROR(__xludf.DUMMYFUNCTION("GOOGLETRANSLATE(B363,""fr"",""en"")"),"They harmonize the voices in the choir.")</f>
        <v>They harmonize the voices in the choir.</v>
      </c>
    </row>
    <row r="364" spans="1:5" x14ac:dyDescent="0.25">
      <c r="A364" s="2" t="s">
        <v>1091</v>
      </c>
      <c r="B364" s="2" t="s">
        <v>1092</v>
      </c>
      <c r="C364" s="3" t="s">
        <v>1093</v>
      </c>
      <c r="D364" s="3" t="str">
        <f ca="1">IFERROR(__xludf.DUMMYFUNCTION("GOOGLETRANSLATE(A364,""fr"",""en"")"),"succeed")</f>
        <v>succeed</v>
      </c>
      <c r="E364" s="3" t="str">
        <f ca="1">IFERROR(__xludf.DUMMYFUNCTION("GOOGLETRANSLATE(B364,""fr"",""en"")"),"We are successful in achieving our goals.")</f>
        <v>We are successful in achieving our goals.</v>
      </c>
    </row>
    <row r="365" spans="1:5" x14ac:dyDescent="0.25">
      <c r="A365" s="2" t="s">
        <v>1094</v>
      </c>
      <c r="B365" s="2" t="s">
        <v>1095</v>
      </c>
      <c r="C365" s="3" t="s">
        <v>1096</v>
      </c>
      <c r="D365" s="3" t="str">
        <f ca="1">IFERROR(__xludf.DUMMYFUNCTION("GOOGLETRANSLATE(A365,""fr"",""en"")"),"cooperate")</f>
        <v>cooperate</v>
      </c>
      <c r="E365" s="3" t="str">
        <f ca="1">IFERROR(__xludf.DUMMYFUNCTION("GOOGLETRANSLATE(B365,""fr"",""en"")"),"She cooperates with her colleagues on the project.")</f>
        <v>She cooperates with her colleagues on the project.</v>
      </c>
    </row>
    <row r="366" spans="1:5" x14ac:dyDescent="0.25">
      <c r="A366" s="2" t="s">
        <v>1097</v>
      </c>
      <c r="B366" s="2" t="s">
        <v>1098</v>
      </c>
      <c r="C366" s="3" t="s">
        <v>1099</v>
      </c>
      <c r="D366" s="3" t="str">
        <f ca="1">IFERROR(__xludf.DUMMYFUNCTION("GOOGLETRANSLATE(A366,""fr"",""en"")"),"estimate")</f>
        <v>estimate</v>
      </c>
      <c r="E366" s="3" t="str">
        <f ca="1">IFERROR(__xludf.DUMMYFUNCTION("GOOGLETRANSLATE(B366,""fr"",""en"")"),"They estimate the costs of the project.")</f>
        <v>They estimate the costs of the project.</v>
      </c>
    </row>
    <row r="367" spans="1:5" x14ac:dyDescent="0.25">
      <c r="A367" s="2" t="s">
        <v>1100</v>
      </c>
      <c r="B367" s="2" t="s">
        <v>1101</v>
      </c>
      <c r="C367" s="3" t="s">
        <v>1102</v>
      </c>
      <c r="D367" s="3" t="str">
        <f ca="1">IFERROR(__xludf.DUMMYFUNCTION("GOOGLETRANSLATE(A367,""fr"",""en"")"),"to plan")</f>
        <v>to plan</v>
      </c>
      <c r="E367" s="3" t="str">
        <f ca="1">IFERROR(__xludf.DUMMYFUNCTION("GOOGLETRANSLATE(B367,""fr"",""en"")"),"We plan the implementation steps.")</f>
        <v>We plan the implementation steps.</v>
      </c>
    </row>
    <row r="368" spans="1:5" x14ac:dyDescent="0.25">
      <c r="A368" s="2" t="s">
        <v>1103</v>
      </c>
      <c r="B368" s="2" t="s">
        <v>1104</v>
      </c>
      <c r="C368" s="3" t="s">
        <v>1105</v>
      </c>
      <c r="D368" s="3" t="str">
        <f ca="1">IFERROR(__xludf.DUMMYFUNCTION("GOOGLETRANSLATE(A368,""fr"",""en"")"),"designer")</f>
        <v>designer</v>
      </c>
      <c r="E368" s="3" t="str">
        <f ca="1">IFERROR(__xludf.DUMMYFUNCTION("GOOGLETRANSLATE(B368,""fr"",""en"")"),"She designates a person responsible for each task.")</f>
        <v>She designates a person responsible for each task.</v>
      </c>
    </row>
    <row r="369" spans="1:5" x14ac:dyDescent="0.25">
      <c r="A369" s="2" t="s">
        <v>1106</v>
      </c>
      <c r="B369" s="2" t="s">
        <v>1107</v>
      </c>
      <c r="C369" s="3" t="s">
        <v>1108</v>
      </c>
      <c r="D369" s="3" t="str">
        <f ca="1">IFERROR(__xludf.DUMMYFUNCTION("GOOGLETRANSLATE(A369,""fr"",""en"")"),"assign")</f>
        <v>assign</v>
      </c>
      <c r="E369" s="3" t="str">
        <f ca="1">IFERROR(__xludf.DUMMYFUNCTION("GOOGLETRANSLATE(B369,""fr"",""en"")"),"They assign specific roles to each member.")</f>
        <v>They assign specific roles to each member.</v>
      </c>
    </row>
    <row r="370" spans="1:5" x14ac:dyDescent="0.25">
      <c r="A370" s="2" t="s">
        <v>1109</v>
      </c>
      <c r="B370" s="2" t="s">
        <v>1110</v>
      </c>
      <c r="C370" s="3" t="s">
        <v>1111</v>
      </c>
      <c r="D370" s="3" t="str">
        <f ca="1">IFERROR(__xludf.DUMMYFUNCTION("GOOGLETRANSLATE(A370,""fr"",""en"")"),"maintain")</f>
        <v>maintain</v>
      </c>
      <c r="E370" s="3" t="str">
        <f ca="1">IFERROR(__xludf.DUMMYFUNCTION("GOOGLETRANSLATE(B370,""fr"",""en"")"),"We maintain friendly relations.")</f>
        <v>We maintain friendly relations.</v>
      </c>
    </row>
    <row r="371" spans="1:5" x14ac:dyDescent="0.25">
      <c r="A371" s="2" t="s">
        <v>1112</v>
      </c>
      <c r="B371" s="2" t="s">
        <v>1113</v>
      </c>
      <c r="C371" s="3" t="s">
        <v>1114</v>
      </c>
      <c r="D371" s="3" t="str">
        <f ca="1">IFERROR(__xludf.DUMMYFUNCTION("GOOGLETRANSLATE(A371,""fr"",""en"")"),"to face")</f>
        <v>to face</v>
      </c>
      <c r="E371" s="3" t="str">
        <f ca="1">IFERROR(__xludf.DUMMYFUNCTION("GOOGLETRANSLATE(B371,""fr"",""en"")"),"She faces challenges with courage.")</f>
        <v>She faces challenges with courage.</v>
      </c>
    </row>
    <row r="372" spans="1:5" x14ac:dyDescent="0.25">
      <c r="A372" s="2" t="s">
        <v>1115</v>
      </c>
      <c r="B372" s="2" t="s">
        <v>1116</v>
      </c>
      <c r="C372" s="3" t="s">
        <v>1117</v>
      </c>
      <c r="D372" s="3" t="str">
        <f ca="1">IFERROR(__xludf.DUMMYFUNCTION("GOOGLETRANSLATE(A372,""fr"",""en"")"),"feed")</f>
        <v>feed</v>
      </c>
      <c r="E372" s="3" t="str">
        <f ca="1">IFERROR(__xludf.DUMMYFUNCTION("GOOGLETRANSLATE(B372,""fr"",""en"")"),"They power the machines with fuel.")</f>
        <v>They power the machines with fuel.</v>
      </c>
    </row>
    <row r="373" spans="1:5" x14ac:dyDescent="0.25">
      <c r="A373" s="2" t="s">
        <v>1118</v>
      </c>
      <c r="B373" s="2" t="s">
        <v>1119</v>
      </c>
      <c r="C373" s="3" t="s">
        <v>1120</v>
      </c>
      <c r="D373" s="3" t="str">
        <f ca="1">IFERROR(__xludf.DUMMYFUNCTION("GOOGLETRANSLATE(A373,""fr"",""en"")"),"simplify")</f>
        <v>simplify</v>
      </c>
      <c r="E373" s="3" t="str">
        <f ca="1">IFERROR(__xludf.DUMMYFUNCTION("GOOGLETRANSLATE(B373,""fr"",""en"")"),"We simplify administrative procedures.")</f>
        <v>We simplify administrative procedures.</v>
      </c>
    </row>
    <row r="374" spans="1:5" x14ac:dyDescent="0.25">
      <c r="A374" s="2" t="s">
        <v>1121</v>
      </c>
      <c r="B374" s="2" t="s">
        <v>1122</v>
      </c>
      <c r="C374" s="3" t="s">
        <v>1123</v>
      </c>
      <c r="D374" s="3" t="str">
        <f ca="1">IFERROR(__xludf.DUMMYFUNCTION("GOOGLETRANSLATE(A374,""fr"",""en"")"),"cause")</f>
        <v>cause</v>
      </c>
      <c r="E374" s="3" t="str">
        <f ca="1">IFERROR(__xludf.DUMMYFUNCTION("GOOGLETRANSLATE(B374,""fr"",""en"")"),"She causes problems unintentionally.")</f>
        <v>She causes problems unintentionally.</v>
      </c>
    </row>
    <row r="375" spans="1:5" x14ac:dyDescent="0.25">
      <c r="A375" s="2" t="s">
        <v>1124</v>
      </c>
      <c r="B375" s="2" t="s">
        <v>1125</v>
      </c>
      <c r="C375" s="3" t="s">
        <v>1126</v>
      </c>
      <c r="D375" s="3" t="str">
        <f ca="1">IFERROR(__xludf.DUMMYFUNCTION("GOOGLETRANSLATE(A375,""fr"",""en"")"),"to reunite")</f>
        <v>to reunite</v>
      </c>
      <c r="E375" s="3" t="str">
        <f ca="1">IFERROR(__xludf.DUMMYFUNCTION("GOOGLETRANSLATE(B375,""fr"",""en"")"),"They bring the team members together.")</f>
        <v>They bring the team members together.</v>
      </c>
    </row>
    <row r="376" spans="1:5" x14ac:dyDescent="0.25">
      <c r="A376" s="2" t="s">
        <v>1127</v>
      </c>
      <c r="B376" s="2" t="s">
        <v>1128</v>
      </c>
      <c r="C376" s="3" t="s">
        <v>1129</v>
      </c>
      <c r="D376" s="3" t="str">
        <f ca="1">IFERROR(__xludf.DUMMYFUNCTION("GOOGLETRANSLATE(A376,""fr"",""en"")"),"tackle")</f>
        <v>tackle</v>
      </c>
      <c r="E376" s="3" t="str">
        <f ca="1">IFERROR(__xludf.DUMMYFUNCTION("GOOGLETRANSLATE(B376,""fr"",""en"")"),"We are tackling the problem head on.")</f>
        <v>We are tackling the problem head on.</v>
      </c>
    </row>
    <row r="377" spans="1:5" x14ac:dyDescent="0.25">
      <c r="A377" s="2" t="s">
        <v>1130</v>
      </c>
      <c r="B377" s="2" t="s">
        <v>1131</v>
      </c>
      <c r="C377" s="3" t="s">
        <v>1132</v>
      </c>
      <c r="D377" s="3" t="str">
        <f ca="1">IFERROR(__xludf.DUMMYFUNCTION("GOOGLETRANSLATE(A377,""fr"",""en"")"),"send back")</f>
        <v>send back</v>
      </c>
      <c r="E377" s="3" t="str">
        <f ca="1">IFERROR(__xludf.DUMMYFUNCTION("GOOGLETRANSLATE(B377,""fr"",""en"")"),"She sends the students home.")</f>
        <v>She sends the students home.</v>
      </c>
    </row>
    <row r="378" spans="1:5" x14ac:dyDescent="0.25">
      <c r="A378" s="2" t="s">
        <v>1133</v>
      </c>
      <c r="B378" s="2" t="s">
        <v>1134</v>
      </c>
      <c r="C378" s="3" t="s">
        <v>1135</v>
      </c>
      <c r="D378" s="3" t="str">
        <f ca="1">IFERROR(__xludf.DUMMYFUNCTION("GOOGLETRANSLATE(A378,""fr"",""en"")"),"associate")</f>
        <v>associate</v>
      </c>
      <c r="E378" s="3" t="str">
        <f ca="1">IFERROR(__xludf.DUMMYFUNCTION("GOOGLETRANSLATE(B378,""fr"",""en"")"),"They combine ideas to find a solution.")</f>
        <v>They combine ideas to find a solution.</v>
      </c>
    </row>
    <row r="379" spans="1:5" x14ac:dyDescent="0.25">
      <c r="A379" s="2" t="s">
        <v>1136</v>
      </c>
      <c r="B379" s="2" t="s">
        <v>1137</v>
      </c>
      <c r="C379" s="3" t="s">
        <v>1138</v>
      </c>
      <c r="D379" s="3" t="str">
        <f ca="1">IFERROR(__xludf.DUMMYFUNCTION("GOOGLETRANSLATE(A379,""fr"",""en"")"),"to assist")</f>
        <v>to assist</v>
      </c>
      <c r="E379" s="3" t="str">
        <f ca="1">IFERROR(__xludf.DUMMYFUNCTION("GOOGLETRANSLATE(B379,""fr"",""en"")"),"We attend the annual conference.")</f>
        <v>We attend the annual conference.</v>
      </c>
    </row>
    <row r="380" spans="1:5" x14ac:dyDescent="0.25">
      <c r="A380" s="2" t="s">
        <v>1139</v>
      </c>
      <c r="B380" s="2" t="s">
        <v>1140</v>
      </c>
      <c r="C380" s="3" t="s">
        <v>1141</v>
      </c>
      <c r="D380" s="3" t="str">
        <f ca="1">IFERROR(__xludf.DUMMYFUNCTION("GOOGLETRANSLATE(A380,""fr"",""en"")"),"recommend")</f>
        <v>recommend</v>
      </c>
      <c r="E380" s="3" t="str">
        <f ca="1">IFERROR(__xludf.DUMMYFUNCTION("GOOGLETRANSLATE(B380,""fr"",""en"")"),"She recommends a good restaurant.")</f>
        <v>She recommends a good restaurant.</v>
      </c>
    </row>
    <row r="381" spans="1:5" x14ac:dyDescent="0.25">
      <c r="A381" s="2" t="s">
        <v>1142</v>
      </c>
      <c r="B381" s="2" t="s">
        <v>1143</v>
      </c>
      <c r="C381" s="3" t="s">
        <v>1144</v>
      </c>
      <c r="D381" s="3" t="str">
        <f ca="1">IFERROR(__xludf.DUMMYFUNCTION("GOOGLETRANSLATE(A381,""fr"",""en"")"),"to appear")</f>
        <v>to appear</v>
      </c>
      <c r="E381" s="3" t="str">
        <f ca="1">IFERROR(__xludf.DUMMYFUNCTION("GOOGLETRANSLATE(B381,""fr"",""en"")"),"They seem happy despite the difficulties.")</f>
        <v>They seem happy despite the difficulties.</v>
      </c>
    </row>
    <row r="382" spans="1:5" x14ac:dyDescent="0.25">
      <c r="A382" s="2" t="s">
        <v>1145</v>
      </c>
      <c r="B382" s="2" t="s">
        <v>1146</v>
      </c>
      <c r="C382" s="3" t="s">
        <v>1147</v>
      </c>
      <c r="D382" s="3" t="str">
        <f ca="1">IFERROR(__xludf.DUMMYFUNCTION("GOOGLETRANSLATE(A382,""fr"",""en"")"),"affirm")</f>
        <v>affirm</v>
      </c>
      <c r="E382" s="3" t="str">
        <f ca="1">IFERROR(__xludf.DUMMYFUNCTION("GOOGLETRANSLATE(B382,""fr"",""en"")"),"We affirm our commitment to the cause.")</f>
        <v>We affirm our commitment to the cause.</v>
      </c>
    </row>
    <row r="383" spans="1:5" x14ac:dyDescent="0.25">
      <c r="A383" s="2" t="s">
        <v>1148</v>
      </c>
      <c r="B383" s="2" t="s">
        <v>1149</v>
      </c>
      <c r="C383" s="3" t="s">
        <v>1150</v>
      </c>
      <c r="D383" s="3" t="str">
        <f ca="1">IFERROR(__xludf.DUMMYFUNCTION("GOOGLETRANSLATE(A383,""fr"",""en"")"),"issue")</f>
        <v>issue</v>
      </c>
      <c r="E383" s="3" t="str">
        <f ca="1">IFERROR(__xludf.DUMMYFUNCTION("GOOGLETRANSLATE(B383,""fr"",""en"")"),"She issues official documents.")</f>
        <v>She issues official documents.</v>
      </c>
    </row>
    <row r="384" spans="1:5" x14ac:dyDescent="0.25">
      <c r="A384" s="2" t="s">
        <v>1151</v>
      </c>
      <c r="B384" s="2" t="s">
        <v>1152</v>
      </c>
      <c r="C384" s="3" t="s">
        <v>1153</v>
      </c>
      <c r="D384" s="3" t="str">
        <f ca="1">IFERROR(__xludf.DUMMYFUNCTION("GOOGLETRANSLATE(A384,""fr"",""en"")"),"expose")</f>
        <v>expose</v>
      </c>
      <c r="E384" s="3" t="str">
        <f ca="1">IFERROR(__xludf.DUMMYFUNCTION("GOOGLETRANSLATE(B384,""fr"",""en"")"),"They exhibit their works in a gallery.")</f>
        <v>They exhibit their works in a gallery.</v>
      </c>
    </row>
    <row r="385" spans="1:5" x14ac:dyDescent="0.25">
      <c r="A385" s="2" t="s">
        <v>1154</v>
      </c>
      <c r="B385" s="2" t="s">
        <v>1155</v>
      </c>
      <c r="C385" s="3" t="s">
        <v>1156</v>
      </c>
      <c r="D385" s="3" t="str">
        <f ca="1">IFERROR(__xludf.DUMMYFUNCTION("GOOGLETRANSLATE(A385,""fr"",""en"")"),"practice")</f>
        <v>practice</v>
      </c>
      <c r="E385" s="3" t="str">
        <f ca="1">IFERROR(__xludf.DUMMYFUNCTION("GOOGLETRANSLATE(B385,""fr"",""en"")"),"We practice sports activities.")</f>
        <v>We practice sports activities.</v>
      </c>
    </row>
    <row r="386" spans="1:5" x14ac:dyDescent="0.25">
      <c r="A386" s="2" t="s">
        <v>1157</v>
      </c>
      <c r="B386" s="2" t="s">
        <v>1158</v>
      </c>
      <c r="C386" s="3" t="s">
        <v>1159</v>
      </c>
      <c r="D386" s="3" t="str">
        <f ca="1">IFERROR(__xludf.DUMMYFUNCTION("GOOGLETRANSLATE(A386,""fr"",""en"")"),"run")</f>
        <v>run</v>
      </c>
      <c r="E386" s="3" t="str">
        <f ca="1">IFERROR(__xludf.DUMMYFUNCTION("GOOGLETRANSLATE(B386,""fr"",""en"")"),"She runs every morning.")</f>
        <v>She runs every morning.</v>
      </c>
    </row>
    <row r="387" spans="1:5" x14ac:dyDescent="0.25">
      <c r="A387" s="2" t="s">
        <v>1160</v>
      </c>
      <c r="B387" s="2" t="s">
        <v>1161</v>
      </c>
      <c r="C387" s="3" t="s">
        <v>1162</v>
      </c>
      <c r="D387" s="3" t="str">
        <f ca="1">IFERROR(__xludf.DUMMYFUNCTION("GOOGLETRANSLATE(A387,""fr"",""en"")"),"celebrate")</f>
        <v>celebrate</v>
      </c>
      <c r="E387" s="3" t="str">
        <f ca="1">IFERROR(__xludf.DUMMYFUNCTION("GOOGLETRANSLATE(B387,""fr"",""en"")"),"They are celebrating their wedding anniversary.")</f>
        <v>They are celebrating their wedding anniversary.</v>
      </c>
    </row>
    <row r="388" spans="1:5" x14ac:dyDescent="0.25">
      <c r="A388" s="2" t="s">
        <v>1163</v>
      </c>
      <c r="B388" s="2" t="s">
        <v>1164</v>
      </c>
      <c r="C388" s="3" t="s">
        <v>1165</v>
      </c>
      <c r="D388" s="3" t="str">
        <f ca="1">IFERROR(__xludf.DUMMYFUNCTION("GOOGLETRANSLATE(A388,""fr"",""en"")"),"appoint")</f>
        <v>appoint</v>
      </c>
      <c r="E388" s="3" t="str">
        <f ca="1">IFERROR(__xludf.DUMMYFUNCTION("GOOGLETRANSLATE(B388,""fr"",""en"")"),"We are appointing a new director.")</f>
        <v>We are appointing a new director.</v>
      </c>
    </row>
    <row r="389" spans="1:5" x14ac:dyDescent="0.25">
      <c r="A389" s="2" t="s">
        <v>1166</v>
      </c>
      <c r="B389" s="2" t="s">
        <v>1167</v>
      </c>
      <c r="C389" s="3" t="s">
        <v>1168</v>
      </c>
      <c r="D389" s="3" t="str">
        <f ca="1">IFERROR(__xludf.DUMMYFUNCTION("GOOGLETRANSLATE(A389,""fr"",""en"")"),"relate")</f>
        <v>relate</v>
      </c>
      <c r="E389" s="3" t="str">
        <f ca="1">IFERROR(__xludf.DUMMYFUNCTION("GOOGLETRANSLATE(B389,""fr"",""en"")"),"She connects the dots to form a picture.")</f>
        <v>She connects the dots to form a picture.</v>
      </c>
    </row>
    <row r="390" spans="1:5" x14ac:dyDescent="0.25">
      <c r="A390" s="2" t="s">
        <v>1169</v>
      </c>
      <c r="B390" s="2" t="s">
        <v>1170</v>
      </c>
      <c r="C390" s="3" t="s">
        <v>1171</v>
      </c>
      <c r="D390" s="3" t="str">
        <f ca="1">IFERROR(__xludf.DUMMYFUNCTION("GOOGLETRANSLATE(A390,""fr"",""en"")"),"push")</f>
        <v>push</v>
      </c>
      <c r="E390" s="3" t="str">
        <f ca="1">IFERROR(__xludf.DUMMYFUNCTION("GOOGLETRANSLATE(B390,""fr"",""en"")"),"They push the door forcefully.")</f>
        <v>They push the door forcefully.</v>
      </c>
    </row>
    <row r="391" spans="1:5" x14ac:dyDescent="0.25">
      <c r="A391" s="2" t="s">
        <v>1172</v>
      </c>
      <c r="B391" s="2" t="s">
        <v>1173</v>
      </c>
      <c r="C391" s="3" t="s">
        <v>1174</v>
      </c>
      <c r="D391" s="3" t="str">
        <f ca="1">IFERROR(__xludf.DUMMYFUNCTION("GOOGLETRANSLATE(A391,""fr"",""en"")"),"exclude")</f>
        <v>exclude</v>
      </c>
      <c r="E391" s="3" t="str">
        <f ca="1">IFERROR(__xludf.DUMMYFUNCTION("GOOGLETRANSLATE(B391,""fr"",""en"")"),"We exclude unregistered participants.")</f>
        <v>We exclude unregistered participants.</v>
      </c>
    </row>
    <row r="392" spans="1:5" x14ac:dyDescent="0.25">
      <c r="A392" s="2" t="s">
        <v>1175</v>
      </c>
      <c r="B392" s="2" t="s">
        <v>1176</v>
      </c>
      <c r="C392" s="3" t="s">
        <v>1177</v>
      </c>
      <c r="D392" s="3" t="str">
        <f ca="1">IFERROR(__xludf.DUMMYFUNCTION("GOOGLETRANSLATE(A392,""fr"",""en"")"),"dismiss")</f>
        <v>dismiss</v>
      </c>
      <c r="E392" s="3" t="str">
        <f ca="1">IFERROR(__xludf.DUMMYFUNCTION("GOOGLETRANSLATE(B392,""fr"",""en"")"),"She rejects the offer of collaboration.")</f>
        <v>She rejects the offer of collaboration.</v>
      </c>
    </row>
    <row r="393" spans="1:5" x14ac:dyDescent="0.25">
      <c r="A393" s="2" t="s">
        <v>1178</v>
      </c>
      <c r="B393" s="2" t="s">
        <v>1179</v>
      </c>
      <c r="C393" s="3" t="s">
        <v>1180</v>
      </c>
      <c r="D393" s="3" t="str">
        <f ca="1">IFERROR(__xludf.DUMMYFUNCTION("GOOGLETRANSLATE(A393,""fr"",""en"")"),"smile")</f>
        <v>smile</v>
      </c>
      <c r="E393" s="3" t="str">
        <f ca="1">IFERROR(__xludf.DUMMYFUNCTION("GOOGLETRANSLATE(B393,""fr"",""en"")"),"They smile at every meeting.")</f>
        <v>They smile at every meeting.</v>
      </c>
    </row>
    <row r="394" spans="1:5" x14ac:dyDescent="0.25">
      <c r="A394" s="2" t="s">
        <v>1181</v>
      </c>
      <c r="B394" s="2" t="s">
        <v>1182</v>
      </c>
      <c r="C394" s="3" t="s">
        <v>1183</v>
      </c>
      <c r="D394" s="3" t="str">
        <f ca="1">IFERROR(__xludf.DUMMYFUNCTION("GOOGLETRANSLATE(A394,""fr"",""en"")"),"use")</f>
        <v>use</v>
      </c>
      <c r="E394" s="3" t="str">
        <f ca="1">IFERROR(__xludf.DUMMYFUNCTION("GOOGLETRANSLATE(B394,""fr"",""en"")"),"We use effective methods.")</f>
        <v>We use effective methods.</v>
      </c>
    </row>
    <row r="395" spans="1:5" x14ac:dyDescent="0.25">
      <c r="A395" s="2" t="s">
        <v>1184</v>
      </c>
      <c r="B395" s="2" t="s">
        <v>1185</v>
      </c>
      <c r="C395" s="3" t="s">
        <v>1186</v>
      </c>
      <c r="D395" s="3" t="str">
        <f ca="1">IFERROR(__xludf.DUMMYFUNCTION("GOOGLETRANSLATE(A395,""fr"",""en"")"),"revise")</f>
        <v>revise</v>
      </c>
      <c r="E395" s="3" t="str">
        <f ca="1">IFERROR(__xludf.DUMMYFUNCTION("GOOGLETRANSLATE(B395,""fr"",""en"")"),"She reviews her notes before the exam.")</f>
        <v>She reviews her notes before the exam.</v>
      </c>
    </row>
    <row r="396" spans="1:5" x14ac:dyDescent="0.25">
      <c r="A396" s="2" t="s">
        <v>1187</v>
      </c>
      <c r="B396" s="2" t="s">
        <v>1188</v>
      </c>
      <c r="C396" s="3" t="s">
        <v>1189</v>
      </c>
      <c r="D396" s="3" t="str">
        <f ca="1">IFERROR(__xludf.DUMMYFUNCTION("GOOGLETRANSLATE(A396,""fr"",""en"")"),"clarify")</f>
        <v>clarify</v>
      </c>
      <c r="E396" s="3" t="str">
        <f ca="1">IFERROR(__xludf.DUMMYFUNCTION("GOOGLETRANSLATE(B396,""fr"",""en"")"),"They clarify the instructions to avoid confusion.")</f>
        <v>They clarify the instructions to avoid confusion.</v>
      </c>
    </row>
    <row r="397" spans="1:5" x14ac:dyDescent="0.25">
      <c r="A397" s="2" t="s">
        <v>1190</v>
      </c>
      <c r="B397" s="2" t="s">
        <v>1191</v>
      </c>
      <c r="C397" s="3" t="s">
        <v>1192</v>
      </c>
      <c r="D397" s="3" t="str">
        <f ca="1">IFERROR(__xludf.DUMMYFUNCTION("GOOGLETRANSLATE(A397,""fr"",""en"")"),"mix")</f>
        <v>mix</v>
      </c>
      <c r="E397" s="3" t="str">
        <f ca="1">IFERROR(__xludf.DUMMYFUNCTION("GOOGLETRANSLATE(B397,""fr"",""en"")"),"We mix the ingredients for the cake.")</f>
        <v>We mix the ingredients for the cake.</v>
      </c>
    </row>
    <row r="398" spans="1:5" x14ac:dyDescent="0.25">
      <c r="A398" s="2" t="s">
        <v>1193</v>
      </c>
      <c r="B398" s="2" t="s">
        <v>1194</v>
      </c>
      <c r="C398" s="3" t="s">
        <v>1195</v>
      </c>
      <c r="D398" s="3" t="str">
        <f ca="1">IFERROR(__xludf.DUMMYFUNCTION("GOOGLETRANSLATE(A398,""fr"",""en"")"),"hit")</f>
        <v>hit</v>
      </c>
      <c r="E398" s="3" t="str">
        <f ca="1">IFERROR(__xludf.DUMMYFUNCTION("GOOGLETRANSLATE(B398,""fr"",""en"")"),"She knocks on the door before entering.")</f>
        <v>She knocks on the door before entering.</v>
      </c>
    </row>
    <row r="399" spans="1:5" x14ac:dyDescent="0.25">
      <c r="A399" s="2" t="s">
        <v>1196</v>
      </c>
      <c r="B399" s="2" t="s">
        <v>1197</v>
      </c>
      <c r="C399" s="3" t="s">
        <v>1198</v>
      </c>
      <c r="D399" s="3" t="str">
        <f ca="1">IFERROR(__xludf.DUMMYFUNCTION("GOOGLETRANSLATE(A399,""fr"",""en"")"),"connect")</f>
        <v>connect</v>
      </c>
      <c r="E399" s="3" t="str">
        <f ca="1">IFERROR(__xludf.DUMMYFUNCTION("GOOGLETRANSLATE(B399,""fr"",""en"")"),"They connect devices to the network.")</f>
        <v>They connect devices to the network.</v>
      </c>
    </row>
    <row r="400" spans="1:5" x14ac:dyDescent="0.25">
      <c r="A400" s="2" t="s">
        <v>1199</v>
      </c>
      <c r="B400" s="2" t="s">
        <v>1200</v>
      </c>
      <c r="C400" s="3" t="s">
        <v>1201</v>
      </c>
      <c r="D400" s="3" t="str">
        <f ca="1">IFERROR(__xludf.DUMMYFUNCTION("GOOGLETRANSLATE(A400,""fr"",""en"")"),"orient")</f>
        <v>orient</v>
      </c>
      <c r="E400" s="3" t="str">
        <f ca="1">IFERROR(__xludf.DUMMYFUNCTION("GOOGLETRANSLATE(B400,""fr"",""en"")"),"We direct visitors to the exhibition.")</f>
        <v>We direct visitors to the exhibition.</v>
      </c>
    </row>
    <row r="401" spans="1:5" x14ac:dyDescent="0.25">
      <c r="A401" s="2" t="s">
        <v>1202</v>
      </c>
      <c r="B401" s="2" t="s">
        <v>1203</v>
      </c>
      <c r="C401" s="3" t="s">
        <v>1204</v>
      </c>
      <c r="D401" s="3" t="str">
        <f ca="1">IFERROR(__xludf.DUMMYFUNCTION("GOOGLETRANSLATE(A401,""fr"",""en"")"),"to arouse")</f>
        <v>to arouse</v>
      </c>
      <c r="E401" s="3" t="str">
        <f ca="1">IFERROR(__xludf.DUMMYFUNCTION("GOOGLETRANSLATE(B401,""fr"",""en"")"),"This idea is generating a lot of interest among researchers.")</f>
        <v>This idea is generating a lot of interest among researchers.</v>
      </c>
    </row>
    <row r="402" spans="1:5" x14ac:dyDescent="0.25">
      <c r="A402" s="2" t="s">
        <v>1205</v>
      </c>
      <c r="B402" s="2" t="s">
        <v>1206</v>
      </c>
      <c r="C402" s="3" t="s">
        <v>1207</v>
      </c>
      <c r="D402" s="3" t="str">
        <f ca="1">IFERROR(__xludf.DUMMYFUNCTION("GOOGLETRANSLATE(A402,""fr"",""en"")"),"reflect")</f>
        <v>reflect</v>
      </c>
      <c r="E402" s="3" t="str">
        <f ca="1">IFERROR(__xludf.DUMMYFUNCTION("GOOGLETRANSLATE(B402,""fr"",""en"")"),"The mirror reflects his image perfectly.")</f>
        <v>The mirror reflects his image perfectly.</v>
      </c>
    </row>
    <row r="403" spans="1:5" x14ac:dyDescent="0.25">
      <c r="A403" s="2" t="s">
        <v>1208</v>
      </c>
      <c r="B403" s="2" t="s">
        <v>1209</v>
      </c>
      <c r="C403" s="3" t="s">
        <v>1210</v>
      </c>
      <c r="D403" s="3" t="str">
        <f ca="1">IFERROR(__xludf.DUMMYFUNCTION("GOOGLETRANSLATE(A403,""fr"",""en"")"),"repay")</f>
        <v>repay</v>
      </c>
      <c r="E403" s="3" t="str">
        <f ca="1">IFERROR(__xludf.DUMMYFUNCTION("GOOGLETRANSLATE(B403,""fr"",""en"")"),"We repay the loan in several monthly installments.")</f>
        <v>We repay the loan in several monthly installments.</v>
      </c>
    </row>
    <row r="404" spans="1:5" x14ac:dyDescent="0.25">
      <c r="A404" s="2" t="s">
        <v>1211</v>
      </c>
      <c r="B404" s="2" t="s">
        <v>1212</v>
      </c>
      <c r="C404" s="3" t="s">
        <v>1213</v>
      </c>
      <c r="D404" s="3" t="str">
        <f ca="1">IFERROR(__xludf.DUMMYFUNCTION("GOOGLETRANSLATE(A404,""fr"",""en"")"),"gather")</f>
        <v>gather</v>
      </c>
      <c r="E404" s="3" t="str">
        <f ca="1">IFERROR(__xludf.DUMMYFUNCTION("GOOGLETRANSLATE(B404,""fr"",""en"")"),"They gather all the necessary information.")</f>
        <v>They gather all the necessary information.</v>
      </c>
    </row>
    <row r="405" spans="1:5" x14ac:dyDescent="0.25">
      <c r="A405" s="2" t="s">
        <v>1214</v>
      </c>
      <c r="B405" s="2" t="s">
        <v>1215</v>
      </c>
      <c r="C405" s="3" t="s">
        <v>1216</v>
      </c>
      <c r="D405" s="3" t="str">
        <f ca="1">IFERROR(__xludf.DUMMYFUNCTION("GOOGLETRANSLATE(A405,""fr"",""en"")"),"to rest")</f>
        <v>to rest</v>
      </c>
      <c r="E405" s="3" t="str">
        <f ca="1">IFERROR(__xludf.DUMMYFUNCTION("GOOGLETRANSLATE(B405,""fr"",""en"")"),"She is resting after a long day of work.")</f>
        <v>She is resting after a long day of work.</v>
      </c>
    </row>
    <row r="406" spans="1:5" x14ac:dyDescent="0.25">
      <c r="A406" s="2" t="s">
        <v>1217</v>
      </c>
      <c r="B406" s="2" t="s">
        <v>1218</v>
      </c>
      <c r="C406" s="3" t="s">
        <v>1219</v>
      </c>
      <c r="D406" s="3" t="str">
        <f ca="1">IFERROR(__xludf.DUMMYFUNCTION("GOOGLETRANSLATE(A406,""fr"",""en"")"),"possess")</f>
        <v>possess</v>
      </c>
      <c r="E406" s="3" t="str">
        <f ca="1">IFERROR(__xludf.DUMMYFUNCTION("GOOGLETRANSLATE(B406,""fr"",""en"")"),"They own a house in the countryside.")</f>
        <v>They own a house in the countryside.</v>
      </c>
    </row>
    <row r="407" spans="1:5" x14ac:dyDescent="0.25">
      <c r="A407" s="2" t="s">
        <v>1220</v>
      </c>
      <c r="B407" s="2" t="s">
        <v>1221</v>
      </c>
      <c r="C407" s="3" t="s">
        <v>1222</v>
      </c>
      <c r="D407" s="3" t="str">
        <f ca="1">IFERROR(__xludf.DUMMYFUNCTION("GOOGLETRANSLATE(A407,""fr"",""en"")"),"build")</f>
        <v>build</v>
      </c>
      <c r="E407" s="3" t="str">
        <f ca="1">IFERROR(__xludf.DUMMYFUNCTION("GOOGLETRANSLATE(B407,""fr"",""en"")"),"We are building a better future together.")</f>
        <v>We are building a better future together.</v>
      </c>
    </row>
    <row r="408" spans="1:5" x14ac:dyDescent="0.25">
      <c r="A408" s="2" t="s">
        <v>1223</v>
      </c>
      <c r="B408" s="2" t="s">
        <v>1224</v>
      </c>
      <c r="C408" s="3" t="s">
        <v>1225</v>
      </c>
      <c r="D408" s="3" t="str">
        <f ca="1">IFERROR(__xludf.DUMMYFUNCTION("GOOGLETRANSLATE(A408,""fr"",""en"")"),"to start up")</f>
        <v>to start up</v>
      </c>
      <c r="E408" s="3" t="str">
        <f ca="1">IFERROR(__xludf.DUMMYFUNCTION("GOOGLETRANSLATE(B408,""fr"",""en"")"),"She starts the car every morning.")</f>
        <v>She starts the car every morning.</v>
      </c>
    </row>
    <row r="409" spans="1:5" x14ac:dyDescent="0.25">
      <c r="A409" s="2" t="s">
        <v>1226</v>
      </c>
      <c r="B409" s="2" t="s">
        <v>1227</v>
      </c>
      <c r="C409" s="3" t="s">
        <v>1228</v>
      </c>
      <c r="D409" s="3" t="str">
        <f ca="1">IFERROR(__xludf.DUMMYFUNCTION("GOOGLETRANSLATE(A409,""fr"",""en"")"),"raise")</f>
        <v>raise</v>
      </c>
      <c r="E409" s="3" t="str">
        <f ca="1">IFERROR(__xludf.DUMMYFUNCTION("GOOGLETRANSLATE(B409,""fr"",""en"")"),"They lift weights to stay in shape.")</f>
        <v>They lift weights to stay in shape.</v>
      </c>
    </row>
    <row r="410" spans="1:5" x14ac:dyDescent="0.25">
      <c r="A410" s="2" t="s">
        <v>1229</v>
      </c>
      <c r="B410" s="2" t="s">
        <v>1230</v>
      </c>
      <c r="C410" s="3" t="s">
        <v>1231</v>
      </c>
      <c r="D410" s="3" t="str">
        <f ca="1">IFERROR(__xludf.DUMMYFUNCTION("GOOGLETRANSLATE(A410,""fr"",""en"")"),"operate")</f>
        <v>operate</v>
      </c>
      <c r="E410" s="3" t="str">
        <f ca="1">IFERROR(__xludf.DUMMYFUNCTION("GOOGLETRANSLATE(B410,""fr"",""en"")"),"We are making significant changes in the company.")</f>
        <v>We are making significant changes in the company.</v>
      </c>
    </row>
    <row r="411" spans="1:5" x14ac:dyDescent="0.25">
      <c r="A411" s="2" t="s">
        <v>1232</v>
      </c>
      <c r="B411" s="2" t="s">
        <v>1233</v>
      </c>
      <c r="C411" s="3" t="s">
        <v>1234</v>
      </c>
      <c r="D411" s="3" t="str">
        <f ca="1">IFERROR(__xludf.DUMMYFUNCTION("GOOGLETRANSLATE(A411,""fr"",""en"")"),"mark")</f>
        <v>mark</v>
      </c>
      <c r="E411" s="3" t="str">
        <f ca="1">IFERROR(__xludf.DUMMYFUNCTION("GOOGLETRANSLATE(B411,""fr"",""en"")"),"It marks the event with a white stone.")</f>
        <v>It marks the event with a white stone.</v>
      </c>
    </row>
    <row r="412" spans="1:5" x14ac:dyDescent="0.25">
      <c r="A412" s="2" t="s">
        <v>1235</v>
      </c>
      <c r="B412" s="2" t="s">
        <v>1236</v>
      </c>
      <c r="C412" s="3" t="s">
        <v>1237</v>
      </c>
      <c r="D412" s="3" t="str">
        <f ca="1">IFERROR(__xludf.DUMMYFUNCTION("GOOGLETRANSLATE(A412,""fr"",""en"")"),"combine")</f>
        <v>combine</v>
      </c>
      <c r="E412" s="3" t="str">
        <f ca="1">IFERROR(__xludf.DUMMYFUNCTION("GOOGLETRANSLATE(B412,""fr"",""en"")"),"They combine their strengths to succeed.")</f>
        <v>They combine their strengths to succeed.</v>
      </c>
    </row>
    <row r="413" spans="1:5" x14ac:dyDescent="0.25">
      <c r="A413" s="2" t="s">
        <v>1238</v>
      </c>
      <c r="B413" s="2" t="s">
        <v>1239</v>
      </c>
      <c r="C413" s="3" t="s">
        <v>1240</v>
      </c>
      <c r="D413" s="3" t="str">
        <f ca="1">IFERROR(__xludf.DUMMYFUNCTION("GOOGLETRANSLATE(A413,""fr"",""en"")"),"heat")</f>
        <v>heat</v>
      </c>
      <c r="E413" s="3" t="str">
        <f ca="1">IFERROR(__xludf.DUMMYFUNCTION("GOOGLETRANSLATE(B413,""fr"",""en"")"),"We heat the soup for dinner.")</f>
        <v>We heat the soup for dinner.</v>
      </c>
    </row>
    <row r="414" spans="1:5" x14ac:dyDescent="0.25">
      <c r="A414" s="2" t="s">
        <v>1241</v>
      </c>
      <c r="B414" s="2" t="s">
        <v>1242</v>
      </c>
      <c r="C414" s="3" t="s">
        <v>1243</v>
      </c>
      <c r="D414" s="3" t="str">
        <f ca="1">IFERROR(__xludf.DUMMYFUNCTION("GOOGLETRANSLATE(A414,""fr"",""en"")"),"incorporate")</f>
        <v>incorporate</v>
      </c>
      <c r="E414" s="3" t="str">
        <f ca="1">IFERROR(__xludf.DUMMYFUNCTION("GOOGLETRANSLATE(B414,""fr"",""en"")"),"It incorporates modern elements into the design.")</f>
        <v>It incorporates modern elements into the design.</v>
      </c>
    </row>
    <row r="415" spans="1:5" x14ac:dyDescent="0.25">
      <c r="A415" s="2" t="s">
        <v>1244</v>
      </c>
      <c r="B415" s="2" t="s">
        <v>1245</v>
      </c>
      <c r="C415" s="3" t="s">
        <v>1246</v>
      </c>
      <c r="D415" s="3" t="str">
        <f ca="1">IFERROR(__xludf.DUMMYFUNCTION("GOOGLETRANSLATE(A415,""fr"",""en"")"),"to block")</f>
        <v>to block</v>
      </c>
      <c r="E415" s="3" t="str">
        <f ca="1">IFERROR(__xludf.DUMMYFUNCTION("GOOGLETRANSLATE(B415,""fr"",""en"")"),"They block access to the site for security reasons.")</f>
        <v>They block access to the site for security reasons.</v>
      </c>
    </row>
    <row r="416" spans="1:5" x14ac:dyDescent="0.25">
      <c r="A416" s="2" t="s">
        <v>1247</v>
      </c>
      <c r="B416" s="2" t="s">
        <v>1248</v>
      </c>
      <c r="C416" s="3" t="s">
        <v>1249</v>
      </c>
      <c r="D416" s="3" t="str">
        <f ca="1">IFERROR(__xludf.DUMMYFUNCTION("GOOGLETRANSLATE(A416,""fr"",""en"")"),"to dance")</f>
        <v>to dance</v>
      </c>
      <c r="E416" s="3" t="str">
        <f ca="1">IFERROR(__xludf.DUMMYFUNCTION("GOOGLETRANSLATE(B416,""fr"",""en"")"),"We dance all night at the party.")</f>
        <v>We dance all night at the party.</v>
      </c>
    </row>
    <row r="417" spans="1:5" x14ac:dyDescent="0.25">
      <c r="A417" s="2" t="s">
        <v>1250</v>
      </c>
      <c r="B417" s="2" t="s">
        <v>1251</v>
      </c>
      <c r="C417" s="3" t="s">
        <v>1252</v>
      </c>
      <c r="D417" s="3" t="str">
        <f ca="1">IFERROR(__xludf.DUMMYFUNCTION("GOOGLETRANSLATE(A417,""fr"",""en"")"),"regulate")</f>
        <v>regulate</v>
      </c>
      <c r="E417" s="3" t="str">
        <f ca="1">IFERROR(__xludf.DUMMYFUNCTION("GOOGLETRANSLATE(B417,""fr"",""en"")"),"It regulates the room temperature.")</f>
        <v>It regulates the room temperature.</v>
      </c>
    </row>
    <row r="418" spans="1:5" x14ac:dyDescent="0.25">
      <c r="A418" s="2" t="s">
        <v>1253</v>
      </c>
      <c r="B418" s="2" t="s">
        <v>1254</v>
      </c>
      <c r="C418" s="3" t="s">
        <v>1255</v>
      </c>
      <c r="D418" s="3" t="str">
        <f ca="1">IFERROR(__xludf.DUMMYFUNCTION("GOOGLETRANSLATE(A418,""fr"",""en"")"),"lower")</f>
        <v>lower</v>
      </c>
      <c r="E418" s="3" t="str">
        <f ca="1">IFERROR(__xludf.DUMMYFUNCTION("GOOGLETRANSLATE(B418,""fr"",""en"")"),"They lower prices to attract more customers.")</f>
        <v>They lower prices to attract more customers.</v>
      </c>
    </row>
    <row r="419" spans="1:5" x14ac:dyDescent="0.25">
      <c r="A419" s="2" t="s">
        <v>1256</v>
      </c>
      <c r="B419" s="2" t="s">
        <v>1257</v>
      </c>
      <c r="C419" s="3" t="s">
        <v>1258</v>
      </c>
      <c r="D419" s="3" t="str">
        <f ca="1">IFERROR(__xludf.DUMMYFUNCTION("GOOGLETRANSLATE(A419,""fr"",""en"")"),"teach")</f>
        <v>teach</v>
      </c>
      <c r="E419" s="3" t="str">
        <f ca="1">IFERROR(__xludf.DUMMYFUNCTION("GOOGLETRANSLATE(B419,""fr"",""en"")"),"We teach French to foreigners.")</f>
        <v>We teach French to foreigners.</v>
      </c>
    </row>
    <row r="420" spans="1:5" x14ac:dyDescent="0.25">
      <c r="A420" s="2" t="s">
        <v>1259</v>
      </c>
      <c r="B420" s="2" t="s">
        <v>1260</v>
      </c>
      <c r="C420" s="3" t="s">
        <v>1261</v>
      </c>
      <c r="D420" s="3" t="str">
        <f ca="1">IFERROR(__xludf.DUMMYFUNCTION("GOOGLETRANSLATE(A420,""fr"",""en"")"),"tell")</f>
        <v>tell</v>
      </c>
      <c r="E420" s="3" t="str">
        <f ca="1">IFERROR(__xludf.DUMMYFUNCTION("GOOGLETRANSLATE(B420,""fr"",""en"")"),"She tells fascinating stories.")</f>
        <v>She tells fascinating stories.</v>
      </c>
    </row>
    <row r="421" spans="1:5" x14ac:dyDescent="0.25">
      <c r="A421" s="2" t="s">
        <v>1262</v>
      </c>
      <c r="B421" s="2" t="s">
        <v>1263</v>
      </c>
      <c r="C421" s="3" t="s">
        <v>1264</v>
      </c>
      <c r="D421" s="3" t="str">
        <f ca="1">IFERROR(__xludf.DUMMYFUNCTION("GOOGLETRANSLATE(A421,""fr"",""en"")"),"involve")</f>
        <v>involve</v>
      </c>
      <c r="E421" s="3" t="str">
        <f ca="1">IFERROR(__xludf.DUMMYFUNCTION("GOOGLETRANSLATE(B421,""fr"",""en"")"),"They involve employees in decision-making.")</f>
        <v>They involve employees in decision-making.</v>
      </c>
    </row>
    <row r="422" spans="1:5" x14ac:dyDescent="0.25">
      <c r="A422" s="2" t="s">
        <v>1265</v>
      </c>
      <c r="B422" s="2" t="s">
        <v>1266</v>
      </c>
      <c r="C422" s="3" t="s">
        <v>1267</v>
      </c>
      <c r="D422" s="3" t="str">
        <f ca="1">IFERROR(__xludf.DUMMYFUNCTION("GOOGLETRANSLATE(A422,""fr"",""en"")"),"master")</f>
        <v>master</v>
      </c>
      <c r="E422" s="3" t="str">
        <f ca="1">IFERROR(__xludf.DUMMYFUNCTION("GOOGLETRANSLATE(B422,""fr"",""en"")"),"We master advanced techniques.")</f>
        <v>We master advanced techniques.</v>
      </c>
    </row>
    <row r="423" spans="1:5" x14ac:dyDescent="0.25">
      <c r="A423" s="2" t="s">
        <v>1268</v>
      </c>
      <c r="B423" s="2" t="s">
        <v>1269</v>
      </c>
      <c r="C423" s="3" t="s">
        <v>1270</v>
      </c>
      <c r="D423" s="3" t="str">
        <f ca="1">IFERROR(__xludf.DUMMYFUNCTION("GOOGLETRANSLATE(A423,""fr"",""en"")"),"vary")</f>
        <v>vary</v>
      </c>
      <c r="E423" s="3" t="str">
        <f ca="1">IFERROR(__xludf.DUMMYFUNCTION("GOOGLETRANSLATE(B423,""fr"",""en"")"),"She varies her exercises to avoid monotony.")</f>
        <v>She varies her exercises to avoid monotony.</v>
      </c>
    </row>
    <row r="424" spans="1:5" x14ac:dyDescent="0.25">
      <c r="A424" s="2" t="s">
        <v>1271</v>
      </c>
      <c r="B424" s="2" t="s">
        <v>1272</v>
      </c>
      <c r="C424" s="3" t="s">
        <v>1273</v>
      </c>
      <c r="D424" s="3" t="str">
        <f ca="1">IFERROR(__xludf.DUMMYFUNCTION("GOOGLETRANSLATE(A424,""fr"",""en"")"),"interpret")</f>
        <v>interpret</v>
      </c>
      <c r="E424" s="3" t="str">
        <f ca="1">IFERROR(__xludf.DUMMYFUNCTION("GOOGLETRANSLATE(B424,""fr"",""en"")"),"They interpret data accurately.")</f>
        <v>They interpret data accurately.</v>
      </c>
    </row>
    <row r="425" spans="1:5" x14ac:dyDescent="0.25">
      <c r="A425" s="2" t="s">
        <v>1274</v>
      </c>
      <c r="B425" s="2" t="s">
        <v>1275</v>
      </c>
      <c r="C425" s="3" t="s">
        <v>1276</v>
      </c>
      <c r="D425" s="3" t="str">
        <f ca="1">IFERROR(__xludf.DUMMYFUNCTION("GOOGLETRANSLATE(A425,""fr"",""en"")"),"write")</f>
        <v>write</v>
      </c>
      <c r="E425" s="3" t="str">
        <f ca="1">IFERROR(__xludf.DUMMYFUNCTION("GOOGLETRANSLATE(B425,""fr"",""en"")"),"We write a detailed report.")</f>
        <v>We write a detailed report.</v>
      </c>
    </row>
    <row r="426" spans="1:5" x14ac:dyDescent="0.25">
      <c r="A426" s="2" t="s">
        <v>1277</v>
      </c>
      <c r="B426" s="2" t="s">
        <v>1278</v>
      </c>
      <c r="C426" s="3" t="s">
        <v>1279</v>
      </c>
      <c r="D426" s="3" t="str">
        <f ca="1">IFERROR(__xludf.DUMMYFUNCTION("GOOGLETRANSLATE(A426,""fr"",""en"")"),"intensify")</f>
        <v>intensify</v>
      </c>
      <c r="E426" s="3" t="str">
        <f ca="1">IFERROR(__xludf.DUMMYFUNCTION("GOOGLETRANSLATE(B426,""fr"",""en"")"),"She intensifies her efforts to succeed.")</f>
        <v>She intensifies her efforts to succeed.</v>
      </c>
    </row>
    <row r="427" spans="1:5" x14ac:dyDescent="0.25">
      <c r="A427" s="2" t="s">
        <v>1280</v>
      </c>
      <c r="B427" s="2" t="s">
        <v>1281</v>
      </c>
      <c r="C427" s="3" t="s">
        <v>1282</v>
      </c>
      <c r="D427" s="3" t="str">
        <f ca="1">IFERROR(__xludf.DUMMYFUNCTION("GOOGLETRANSLATE(A427,""fr"",""en"")"),"locate")</f>
        <v>locate</v>
      </c>
      <c r="E427" s="3" t="str">
        <f ca="1">IFERROR(__xludf.DUMMYFUNCTION("GOOGLETRANSLATE(B427,""fr"",""en"")"),"They quickly locate the leak.")</f>
        <v>They quickly locate the leak.</v>
      </c>
    </row>
    <row r="428" spans="1:5" x14ac:dyDescent="0.25">
      <c r="A428" s="2" t="s">
        <v>1283</v>
      </c>
      <c r="B428" s="2" t="s">
        <v>1284</v>
      </c>
      <c r="C428" s="3" t="s">
        <v>1285</v>
      </c>
      <c r="D428" s="3" t="str">
        <f ca="1">IFERROR(__xludf.DUMMYFUNCTION("GOOGLETRANSLATE(A428,""fr"",""en"")"),"deliver")</f>
        <v>deliver</v>
      </c>
      <c r="E428" s="3" t="str">
        <f ca="1">IFERROR(__xludf.DUMMYFUNCTION("GOOGLETRANSLATE(B428,""fr"",""en"")"),"We deliver the products on time.")</f>
        <v>We deliver the products on time.</v>
      </c>
    </row>
    <row r="429" spans="1:5" x14ac:dyDescent="0.25">
      <c r="A429" s="2" t="s">
        <v>1286</v>
      </c>
      <c r="B429" s="2" t="s">
        <v>1287</v>
      </c>
      <c r="C429" s="3" t="s">
        <v>1288</v>
      </c>
      <c r="D429" s="3" t="str">
        <f ca="1">IFERROR(__xludf.DUMMYFUNCTION("GOOGLETRANSLATE(A429,""fr"",""en"")"),"raise")</f>
        <v>raise</v>
      </c>
      <c r="E429" s="3" t="str">
        <f ca="1">IFERROR(__xludf.DUMMYFUNCTION("GOOGLETRANSLATE(B429,""fr"",""en"")"),"She raises her children with love.")</f>
        <v>She raises her children with love.</v>
      </c>
    </row>
    <row r="430" spans="1:5" x14ac:dyDescent="0.25">
      <c r="A430" s="2" t="s">
        <v>1289</v>
      </c>
      <c r="B430" s="2" t="s">
        <v>1290</v>
      </c>
      <c r="C430" s="3" t="s">
        <v>1291</v>
      </c>
      <c r="D430" s="3" t="str">
        <f ca="1">IFERROR(__xludf.DUMMYFUNCTION("GOOGLETRANSLATE(A430,""fr"",""en"")"),"to amuse")</f>
        <v>to amuse</v>
      </c>
      <c r="E430" s="3" t="str">
        <f ca="1">IFERROR(__xludf.DUMMYFUNCTION("GOOGLETRANSLATE(B430,""fr"",""en"")"),"They entertain the children with games.")</f>
        <v>They entertain the children with games.</v>
      </c>
    </row>
    <row r="431" spans="1:5" x14ac:dyDescent="0.25">
      <c r="A431" s="2" t="s">
        <v>1292</v>
      </c>
      <c r="B431" s="2" t="s">
        <v>1293</v>
      </c>
      <c r="C431" s="3" t="s">
        <v>1294</v>
      </c>
      <c r="D431" s="3" t="str">
        <f ca="1">IFERROR(__xludf.DUMMYFUNCTION("GOOGLETRANSLATE(A431,""fr"",""en"")"),"clear")</f>
        <v>clear</v>
      </c>
      <c r="E431" s="3" t="str">
        <f ca="1">IFERROR(__xludf.DUMMYFUNCTION("GOOGLETRANSLATE(B431,""fr"",""en"")"),"We are clearing space for the new table.")</f>
        <v>We are clearing space for the new table.</v>
      </c>
    </row>
    <row r="432" spans="1:5" x14ac:dyDescent="0.25">
      <c r="A432" s="2" t="s">
        <v>1295</v>
      </c>
      <c r="B432" s="2" t="s">
        <v>1296</v>
      </c>
      <c r="C432" s="3" t="s">
        <v>1297</v>
      </c>
      <c r="D432" s="3" t="str">
        <f ca="1">IFERROR(__xludf.DUMMYFUNCTION("GOOGLETRANSLATE(A432,""fr"",""en"")"),"laugh")</f>
        <v>laugh</v>
      </c>
      <c r="E432" s="3" t="str">
        <f ca="1">IFERROR(__xludf.DUMMYFUNCTION("GOOGLETRANSLATE(B432,""fr"",""en"")"),"She laughed out loud when she heard the joke.")</f>
        <v>She laughed out loud when she heard the joke.</v>
      </c>
    </row>
    <row r="433" spans="1:5" x14ac:dyDescent="0.25">
      <c r="A433" s="2" t="s">
        <v>1298</v>
      </c>
      <c r="B433" s="2" t="s">
        <v>1299</v>
      </c>
      <c r="C433" s="3" t="s">
        <v>1300</v>
      </c>
      <c r="D433" s="3" t="str">
        <f ca="1">IFERROR(__xludf.DUMMYFUNCTION("GOOGLETRANSLATE(A433,""fr"",""en"")"),"browse")</f>
        <v>browse</v>
      </c>
      <c r="E433" s="3" t="str">
        <f ca="1">IFERROR(__xludf.DUMMYFUNCTION("GOOGLETRANSLATE(B433,""fr"",""en"")"),"They travel the world in search of adventure.")</f>
        <v>They travel the world in search of adventure.</v>
      </c>
    </row>
    <row r="434" spans="1:5" x14ac:dyDescent="0.25">
      <c r="A434" s="2" t="s">
        <v>1301</v>
      </c>
      <c r="B434" s="2" t="s">
        <v>1302</v>
      </c>
      <c r="C434" s="3" t="s">
        <v>1303</v>
      </c>
      <c r="D434" s="3" t="str">
        <f ca="1">IFERROR(__xludf.DUMMYFUNCTION("GOOGLETRANSLATE(A434,""fr"",""en"")"),"to found")</f>
        <v>to found</v>
      </c>
      <c r="E434" s="3" t="str">
        <f ca="1">IFERROR(__xludf.DUMMYFUNCTION("GOOGLETRANSLATE(B434,""fr"",""en"")"),"We are founding a new company.")</f>
        <v>We are founding a new company.</v>
      </c>
    </row>
    <row r="435" spans="1:5" x14ac:dyDescent="0.25">
      <c r="A435" s="2" t="s">
        <v>1304</v>
      </c>
      <c r="B435" s="2" t="s">
        <v>1305</v>
      </c>
      <c r="C435" s="3" t="s">
        <v>1306</v>
      </c>
      <c r="D435" s="3" t="str">
        <f ca="1">IFERROR(__xludf.DUMMYFUNCTION("GOOGLETRANSLATE(A435,""fr"",""en"")"),"ignore")</f>
        <v>ignore</v>
      </c>
      <c r="E435" s="3" t="str">
        <f ca="1">IFERROR(__xludf.DUMMYFUNCTION("GOOGLETRANSLATE(B435,""fr"",""en"")"),"She ignores negative comments.")</f>
        <v>She ignores negative comments.</v>
      </c>
    </row>
    <row r="436" spans="1:5" x14ac:dyDescent="0.25">
      <c r="A436" s="2" t="s">
        <v>1307</v>
      </c>
      <c r="B436" s="2" t="s">
        <v>1308</v>
      </c>
      <c r="C436" s="3" t="s">
        <v>1309</v>
      </c>
      <c r="D436" s="3" t="str">
        <f ca="1">IFERROR(__xludf.DUMMYFUNCTION("GOOGLETRANSLATE(A436,""fr"",""en"")"),"attach")</f>
        <v>attach</v>
      </c>
      <c r="E436" s="3" t="str">
        <f ca="1">IFERROR(__xludf.DUMMYFUNCTION("GOOGLETRANSLATE(B436,""fr"",""en"")"),"They attach great importance to quality.")</f>
        <v>They attach great importance to quality.</v>
      </c>
    </row>
    <row r="437" spans="1:5" x14ac:dyDescent="0.25">
      <c r="A437" s="2" t="s">
        <v>1310</v>
      </c>
      <c r="B437" s="2" t="s">
        <v>1311</v>
      </c>
      <c r="C437" s="3" t="s">
        <v>1312</v>
      </c>
      <c r="D437" s="3" t="str">
        <f ca="1">IFERROR(__xludf.DUMMYFUNCTION("GOOGLETRANSLATE(A437,""fr"",""en"")"),"to work")</f>
        <v>to work</v>
      </c>
      <c r="E437" s="3" t="str">
        <f ca="1">IFERROR(__xludf.DUMMYFUNCTION("GOOGLETRANSLATE(B437,""fr"",""en"")"),"We work for world peace.")</f>
        <v>We work for world peace.</v>
      </c>
    </row>
    <row r="438" spans="1:5" x14ac:dyDescent="0.25">
      <c r="A438" s="2" t="s">
        <v>1313</v>
      </c>
      <c r="B438" s="2" t="s">
        <v>1314</v>
      </c>
      <c r="C438" s="3" t="s">
        <v>1315</v>
      </c>
      <c r="D438" s="3" t="str">
        <f ca="1">IFERROR(__xludf.DUMMYFUNCTION("GOOGLETRANSLATE(A438,""fr"",""en"")"),"marry")</f>
        <v>marry</v>
      </c>
      <c r="E438" s="3" t="str">
        <f ca="1">IFERROR(__xludf.DUMMYFUNCTION("GOOGLETRANSLATE(B438,""fr"",""en"")"),"She marries her long-time lover.")</f>
        <v>She marries her long-time lover.</v>
      </c>
    </row>
    <row r="439" spans="1:5" x14ac:dyDescent="0.25">
      <c r="A439" s="2" t="s">
        <v>1316</v>
      </c>
      <c r="B439" s="2" t="s">
        <v>1317</v>
      </c>
      <c r="C439" s="3" t="s">
        <v>1318</v>
      </c>
      <c r="D439" s="3" t="str">
        <f ca="1">IFERROR(__xludf.DUMMYFUNCTION("GOOGLETRANSLATE(A439,""fr"",""en"")"),"configure")</f>
        <v>configure</v>
      </c>
      <c r="E439" s="3" t="str">
        <f ca="1">IFERROR(__xludf.DUMMYFUNCTION("GOOGLETRANSLATE(B439,""fr"",""en"")"),"They configure the new computer system.")</f>
        <v>They configure the new computer system.</v>
      </c>
    </row>
    <row r="440" spans="1:5" x14ac:dyDescent="0.25">
      <c r="A440" s="2" t="s">
        <v>1319</v>
      </c>
      <c r="B440" s="2" t="s">
        <v>1320</v>
      </c>
      <c r="C440" s="3" t="s">
        <v>1321</v>
      </c>
      <c r="D440" s="3" t="str">
        <f ca="1">IFERROR(__xludf.DUMMYFUNCTION("GOOGLETRANSLATE(A440,""fr"",""en"")"),"to rent out")</f>
        <v>to rent out</v>
      </c>
      <c r="E440" s="3" t="str">
        <f ca="1">IFERROR(__xludf.DUMMYFUNCTION("GOOGLETRANSLATE(B440,""fr"",""en"")"),"We are renting a house for the holidays.")</f>
        <v>We are renting a house for the holidays.</v>
      </c>
    </row>
    <row r="441" spans="1:5" x14ac:dyDescent="0.25">
      <c r="A441" s="2" t="s">
        <v>1322</v>
      </c>
      <c r="B441" s="2" t="s">
        <v>1323</v>
      </c>
      <c r="C441" s="3" t="s">
        <v>1324</v>
      </c>
      <c r="D441" s="3" t="str">
        <f ca="1">IFERROR(__xludf.DUMMYFUNCTION("GOOGLETRANSLATE(A441,""fr"",""en"")"),"to feed")</f>
        <v>to feed</v>
      </c>
      <c r="E441" s="3" t="str">
        <f ca="1">IFERROR(__xludf.DUMMYFUNCTION("GOOGLETRANSLATE(B441,""fr"",""en"")"),"She feeds her cat every morning.")</f>
        <v>She feeds her cat every morning.</v>
      </c>
    </row>
    <row r="442" spans="1:5" x14ac:dyDescent="0.25">
      <c r="A442" s="2" t="s">
        <v>1325</v>
      </c>
      <c r="B442" s="2" t="s">
        <v>1326</v>
      </c>
      <c r="C442" s="3" t="s">
        <v>1327</v>
      </c>
      <c r="D442" s="3" t="str">
        <f ca="1">IFERROR(__xludf.DUMMYFUNCTION("GOOGLETRANSLATE(A442,""fr"",""en"")"),"extend")</f>
        <v>extend</v>
      </c>
      <c r="E442" s="3" t="str">
        <f ca="1">IFERROR(__xludf.DUMMYFUNCTION("GOOGLETRANSLATE(B442,""fr"",""en"")"),"They extend the warranty period.")</f>
        <v>They extend the warranty period.</v>
      </c>
    </row>
    <row r="443" spans="1:5" x14ac:dyDescent="0.25">
      <c r="A443" s="2" t="s">
        <v>1328</v>
      </c>
      <c r="B443" s="2" t="s">
        <v>1329</v>
      </c>
      <c r="C443" s="3" t="s">
        <v>1330</v>
      </c>
      <c r="D443" s="3" t="str">
        <f ca="1">IFERROR(__xludf.DUMMYFUNCTION("GOOGLETRANSLATE(A443,""fr"",""en"")"),"lend")</f>
        <v>lend</v>
      </c>
      <c r="E443" s="3" t="str">
        <f ca="1">IFERROR(__xludf.DUMMYFUNCTION("GOOGLETRANSLATE(B443,""fr"",""en"")"),"We lend books to our friends.")</f>
        <v>We lend books to our friends.</v>
      </c>
    </row>
    <row r="444" spans="1:5" x14ac:dyDescent="0.25">
      <c r="A444" s="2" t="s">
        <v>1331</v>
      </c>
      <c r="B444" s="2" t="s">
        <v>1332</v>
      </c>
      <c r="C444" s="3" t="s">
        <v>1333</v>
      </c>
      <c r="D444" s="3" t="str">
        <f ca="1">IFERROR(__xludf.DUMMYFUNCTION("GOOGLETRANSLATE(A444,""fr"",""en"")"),"sing")</f>
        <v>sing</v>
      </c>
      <c r="E444" s="3" t="str">
        <f ca="1">IFERROR(__xludf.DUMMYFUNCTION("GOOGLETRANSLATE(B444,""fr"",""en"")"),"She sings in the church choir.")</f>
        <v>She sings in the church choir.</v>
      </c>
    </row>
    <row r="445" spans="1:5" x14ac:dyDescent="0.25">
      <c r="A445" s="2" t="s">
        <v>1334</v>
      </c>
      <c r="B445" s="2" t="s">
        <v>1335</v>
      </c>
      <c r="C445" s="3" t="s">
        <v>1336</v>
      </c>
      <c r="D445" s="3" t="str">
        <f ca="1">IFERROR(__xludf.DUMMYFUNCTION("GOOGLETRANSLATE(A445,""fr"",""en"")"),"save")</f>
        <v>save</v>
      </c>
      <c r="E445" s="3" t="str">
        <f ca="1">IFERROR(__xludf.DUMMYFUNCTION("GOOGLETRANSLATE(B445,""fr"",""en"")"),"They are saving up to buy a new car.")</f>
        <v>They are saving up to buy a new car.</v>
      </c>
    </row>
    <row r="446" spans="1:5" x14ac:dyDescent="0.25">
      <c r="A446" s="2" t="s">
        <v>1337</v>
      </c>
      <c r="B446" s="2" t="s">
        <v>1338</v>
      </c>
      <c r="C446" s="3" t="s">
        <v>1339</v>
      </c>
      <c r="D446" s="3" t="str">
        <f ca="1">IFERROR(__xludf.DUMMYFUNCTION("GOOGLETRANSLATE(A446,""fr"",""en"")"),"to complete")</f>
        <v>to complete</v>
      </c>
      <c r="E446" s="3" t="str">
        <f ca="1">IFERROR(__xludf.DUMMYFUNCTION("GOOGLETRANSLATE(B446,""fr"",""en"")"),"We complete the project before the deadline.")</f>
        <v>We complete the project before the deadline.</v>
      </c>
    </row>
    <row r="447" spans="1:5" x14ac:dyDescent="0.25">
      <c r="A447" s="2" t="s">
        <v>1340</v>
      </c>
      <c r="B447" s="2" t="s">
        <v>1341</v>
      </c>
      <c r="C447" s="3" t="s">
        <v>1342</v>
      </c>
      <c r="D447" s="3" t="str">
        <f ca="1">IFERROR(__xludf.DUMMYFUNCTION("GOOGLETRANSLATE(A447,""fr"",""en"")"),"renew")</f>
        <v>renew</v>
      </c>
      <c r="E447" s="3" t="str">
        <f ca="1">IFERROR(__xludf.DUMMYFUNCTION("GOOGLETRANSLATE(B447,""fr"",""en"")"),"She renews her subscription every year.")</f>
        <v>She renews her subscription every year.</v>
      </c>
    </row>
    <row r="448" spans="1:5" x14ac:dyDescent="0.25">
      <c r="A448" s="2" t="s">
        <v>1343</v>
      </c>
      <c r="B448" s="2" t="s">
        <v>1344</v>
      </c>
      <c r="C448" s="3" t="s">
        <v>1345</v>
      </c>
      <c r="D448" s="3" t="str">
        <f ca="1">IFERROR(__xludf.DUMMYFUNCTION("GOOGLETRANSLATE(A448,""fr"",""en"")"),"influence")</f>
        <v>influence</v>
      </c>
      <c r="E448" s="3" t="str">
        <f ca="1">IFERROR(__xludf.DUMMYFUNCTION("GOOGLETRANSLATE(B448,""fr"",""en"")"),"They influence political decisions.")</f>
        <v>They influence political decisions.</v>
      </c>
    </row>
    <row r="449" spans="1:5" x14ac:dyDescent="0.25">
      <c r="A449" s="2" t="s">
        <v>1346</v>
      </c>
      <c r="B449" s="2" t="s">
        <v>1347</v>
      </c>
      <c r="C449" s="3" t="s">
        <v>1348</v>
      </c>
      <c r="D449" s="3" t="str">
        <f ca="1">IFERROR(__xludf.DUMMYFUNCTION("GOOGLETRANSLATE(A449,""fr"",""en"")"),"to move")</f>
        <v>to move</v>
      </c>
      <c r="E449" s="3" t="str">
        <f ca="1">IFERROR(__xludf.DUMMYFUNCTION("GOOGLETRANSLATE(B449,""fr"",""en"")"),"We move the furniture to rearrange the room.")</f>
        <v>We move the furniture to rearrange the room.</v>
      </c>
    </row>
    <row r="450" spans="1:5" x14ac:dyDescent="0.25">
      <c r="A450" s="2" t="s">
        <v>1349</v>
      </c>
      <c r="B450" s="2" t="s">
        <v>1350</v>
      </c>
      <c r="C450" s="3" t="s">
        <v>1351</v>
      </c>
      <c r="D450" s="3" t="str">
        <f ca="1">IFERROR(__xludf.DUMMYFUNCTION("GOOGLETRANSLATE(A450,""fr"",""en"")"),"suspend")</f>
        <v>suspend</v>
      </c>
      <c r="E450" s="3" t="str">
        <f ca="1">IFERROR(__xludf.DUMMYFUNCTION("GOOGLETRANSLATE(B450,""fr"",""en"")"),"She hangs her coat on the coat rack.")</f>
        <v>She hangs her coat on the coat rack.</v>
      </c>
    </row>
    <row r="451" spans="1:5" x14ac:dyDescent="0.25">
      <c r="A451" s="2" t="s">
        <v>1352</v>
      </c>
      <c r="B451" s="2" t="s">
        <v>1353</v>
      </c>
      <c r="C451" s="3" t="s">
        <v>1354</v>
      </c>
      <c r="D451" s="3" t="str">
        <f ca="1">IFERROR(__xludf.DUMMYFUNCTION("GOOGLETRANSLATE(A451,""fr"",""en"")"),"deploy")</f>
        <v>deploy</v>
      </c>
      <c r="E451" s="3" t="str">
        <f ca="1">IFERROR(__xludf.DUMMYFUNCTION("GOOGLETRANSLATE(B451,""fr"",""en"")"),"They are making considerable efforts.")</f>
        <v>They are making considerable efforts.</v>
      </c>
    </row>
    <row r="452" spans="1:5" x14ac:dyDescent="0.25">
      <c r="A452" s="2" t="s">
        <v>1355</v>
      </c>
      <c r="B452" s="2" t="s">
        <v>1356</v>
      </c>
      <c r="C452" s="3" t="s">
        <v>1357</v>
      </c>
      <c r="D452" s="3" t="str">
        <f ca="1">IFERROR(__xludf.DUMMYFUNCTION("GOOGLETRANSLATE(A452,""fr"",""en"")"),"miss")</f>
        <v>miss</v>
      </c>
      <c r="E452" s="3" t="str">
        <f ca="1">IFERROR(__xludf.DUMMYFUNCTION("GOOGLETRANSLATE(B452,""fr"",""en"")"),"We rarely miss a meeting.")</f>
        <v>We rarely miss a meeting.</v>
      </c>
    </row>
    <row r="453" spans="1:5" x14ac:dyDescent="0.25">
      <c r="A453" s="2" t="s">
        <v>1358</v>
      </c>
      <c r="B453" s="2" t="s">
        <v>1359</v>
      </c>
      <c r="C453" s="3" t="s">
        <v>1360</v>
      </c>
      <c r="D453" s="3" t="str">
        <f ca="1">IFERROR(__xludf.DUMMYFUNCTION("GOOGLETRANSLATE(A453,""fr"",""en"")"),"collect")</f>
        <v>collect</v>
      </c>
      <c r="E453" s="3" t="str">
        <f ca="1">IFERROR(__xludf.DUMMYFUNCTION("GOOGLETRANSLATE(B453,""fr"",""en"")"),"She is raising money for a good cause.")</f>
        <v>She is raising money for a good cause.</v>
      </c>
    </row>
    <row r="454" spans="1:5" x14ac:dyDescent="0.25">
      <c r="A454" s="2" t="s">
        <v>1361</v>
      </c>
      <c r="B454" s="2" t="s">
        <v>1362</v>
      </c>
      <c r="C454" s="3" t="s">
        <v>1363</v>
      </c>
      <c r="D454" s="3" t="str">
        <f ca="1">IFERROR(__xludf.DUMMYFUNCTION("GOOGLETRANSLATE(A454,""fr"",""en"")"),"restore")</f>
        <v>restore</v>
      </c>
      <c r="E454" s="3" t="str">
        <f ca="1">IFERROR(__xludf.DUMMYFUNCTION("GOOGLETRANSLATE(B454,""fr"",""en"")"),"They restore ancient works of art.")</f>
        <v>They restore ancient works of art.</v>
      </c>
    </row>
    <row r="455" spans="1:5" x14ac:dyDescent="0.25">
      <c r="A455" s="2" t="s">
        <v>1364</v>
      </c>
      <c r="B455" s="2" t="s">
        <v>1365</v>
      </c>
      <c r="C455" s="3" t="s">
        <v>1366</v>
      </c>
      <c r="D455" s="3" t="str">
        <f ca="1">IFERROR(__xludf.DUMMYFUNCTION("GOOGLETRANSLATE(A455,""fr"",""en"")"),"remain")</f>
        <v>remain</v>
      </c>
      <c r="E455" s="3" t="str">
        <f ca="1">IFERROR(__xludf.DUMMYFUNCTION("GOOGLETRANSLATE(B455,""fr"",""en"")"),"We remain optimistic despite the challenges.")</f>
        <v>We remain optimistic despite the challenges.</v>
      </c>
    </row>
    <row r="456" spans="1:5" x14ac:dyDescent="0.25">
      <c r="A456" s="2" t="s">
        <v>1367</v>
      </c>
      <c r="B456" s="2" t="s">
        <v>1368</v>
      </c>
      <c r="C456" s="3" t="s">
        <v>1369</v>
      </c>
      <c r="D456" s="3" t="str">
        <f ca="1">IFERROR(__xludf.DUMMYFUNCTION("GOOGLETRANSLATE(A456,""fr"",""en"")"),"distinguish")</f>
        <v>distinguish</v>
      </c>
      <c r="E456" s="3" t="str">
        <f ca="1">IFERROR(__xludf.DUMMYFUNCTION("GOOGLETRANSLATE(B456,""fr"",""en"")"),"She distinguishes between different scents.")</f>
        <v>She distinguishes between different scents.</v>
      </c>
    </row>
    <row r="457" spans="1:5" x14ac:dyDescent="0.25">
      <c r="A457" s="2" t="s">
        <v>1370</v>
      </c>
      <c r="B457" s="2" t="s">
        <v>1371</v>
      </c>
      <c r="C457" s="3" t="s">
        <v>1372</v>
      </c>
      <c r="D457" s="3" t="str">
        <f ca="1">IFERROR(__xludf.DUMMYFUNCTION("GOOGLETRANSLATE(A457,""fr"",""en"")"),"to deepen")</f>
        <v>to deepen</v>
      </c>
      <c r="E457" s="3" t="str">
        <f ca="1">IFERROR(__xludf.DUMMYFUNCTION("GOOGLETRANSLATE(B457,""fr"",""en"")"),"They deepen their knowledge of biology.")</f>
        <v>They deepen their knowledge of biology.</v>
      </c>
    </row>
    <row r="458" spans="1:5" x14ac:dyDescent="0.25">
      <c r="A458" s="2" t="s">
        <v>1373</v>
      </c>
      <c r="B458" s="2" t="s">
        <v>1374</v>
      </c>
      <c r="C458" s="3" t="s">
        <v>1375</v>
      </c>
      <c r="D458" s="3" t="str">
        <f ca="1">IFERROR(__xludf.DUMMYFUNCTION("GOOGLETRANSLATE(A458,""fr"",""en"")"),"regulate")</f>
        <v>regulate</v>
      </c>
      <c r="E458" s="3" t="str">
        <f ca="1">IFERROR(__xludf.DUMMYFUNCTION("GOOGLETRANSLATE(B458,""fr"",""en"")"),"We regulate water use for conservation.")</f>
        <v>We regulate water use for conservation.</v>
      </c>
    </row>
    <row r="459" spans="1:5" x14ac:dyDescent="0.25">
      <c r="A459" s="2" t="s">
        <v>1376</v>
      </c>
      <c r="B459" s="2" t="s">
        <v>1377</v>
      </c>
      <c r="C459" s="3" t="s">
        <v>1378</v>
      </c>
      <c r="D459" s="3" t="str">
        <f ca="1">IFERROR(__xludf.DUMMYFUNCTION("GOOGLETRANSLATE(A459,""fr"",""en"")"),"to compromise")</f>
        <v>to compromise</v>
      </c>
      <c r="E459" s="3" t="str">
        <f ca="1">IFERROR(__xludf.DUMMYFUNCTION("GOOGLETRANSLATE(B459,""fr"",""en"")"),"She is compromising her health by working too much.")</f>
        <v>She is compromising her health by working too much.</v>
      </c>
    </row>
    <row r="460" spans="1:5" x14ac:dyDescent="0.25">
      <c r="A460" s="2" t="s">
        <v>1379</v>
      </c>
      <c r="B460" s="2" t="s">
        <v>1380</v>
      </c>
      <c r="C460" s="3" t="s">
        <v>1381</v>
      </c>
      <c r="D460" s="3" t="str">
        <f ca="1">IFERROR(__xludf.DUMMYFUNCTION("GOOGLETRANSLATE(A460,""fr"",""en"")"),"entrust")</f>
        <v>entrust</v>
      </c>
      <c r="E460" s="3" t="str">
        <f ca="1">IFERROR(__xludf.DUMMYFUNCTION("GOOGLETRANSLATE(B460,""fr"",""en"")"),"They confide their secrets to their close friends.")</f>
        <v>They confide their secrets to their close friends.</v>
      </c>
    </row>
    <row r="461" spans="1:5" x14ac:dyDescent="0.25">
      <c r="A461" s="2" t="s">
        <v>1382</v>
      </c>
      <c r="B461" s="2" t="s">
        <v>1383</v>
      </c>
      <c r="C461" s="3" t="s">
        <v>1384</v>
      </c>
      <c r="D461" s="3" t="str">
        <f ca="1">IFERROR(__xludf.DUMMYFUNCTION("GOOGLETRANSLATE(A461,""fr"",""en"")"),"suffer")</f>
        <v>suffer</v>
      </c>
      <c r="E461" s="3" t="str">
        <f ca="1">IFERROR(__xludf.DUMMYFUNCTION("GOOGLETRANSLATE(B461,""fr"",""en"")"),"We are suffering from a labor shortage.")</f>
        <v>We are suffering from a labor shortage.</v>
      </c>
    </row>
    <row r="462" spans="1:5" x14ac:dyDescent="0.25">
      <c r="A462" s="2" t="s">
        <v>1385</v>
      </c>
      <c r="B462" s="2" t="s">
        <v>1386</v>
      </c>
      <c r="C462" s="3" t="s">
        <v>1387</v>
      </c>
      <c r="D462" s="3" t="str">
        <f ca="1">IFERROR(__xludf.DUMMYFUNCTION("GOOGLETRANSLATE(A462,""fr"",""en"")"),"minimize")</f>
        <v>minimize</v>
      </c>
      <c r="E462" s="3" t="str">
        <f ca="1">IFERROR(__xludf.DUMMYFUNCTION("GOOGLETRANSLATE(B462,""fr"",""en"")"),"She minimizes risks by taking precautions.")</f>
        <v>She minimizes risks by taking precautions.</v>
      </c>
    </row>
    <row r="463" spans="1:5" x14ac:dyDescent="0.25">
      <c r="A463" s="2" t="s">
        <v>1388</v>
      </c>
      <c r="B463" s="2" t="s">
        <v>1389</v>
      </c>
      <c r="C463" s="3" t="s">
        <v>1390</v>
      </c>
      <c r="D463" s="3" t="str">
        <f ca="1">IFERROR(__xludf.DUMMYFUNCTION("GOOGLETRANSLATE(A463,""fr"",""en"")"),"catch")</f>
        <v>catch</v>
      </c>
      <c r="E463" s="3" t="str">
        <f ca="1">IFERROR(__xludf.DUMMYFUNCTION("GOOGLETRANSLATE(B463,""fr"",""en"")"),"They catch a cold in winter.")</f>
        <v>They catch a cold in winter.</v>
      </c>
    </row>
    <row r="464" spans="1:5" x14ac:dyDescent="0.25">
      <c r="A464" s="2" t="s">
        <v>1391</v>
      </c>
      <c r="B464" s="2" t="s">
        <v>1392</v>
      </c>
      <c r="C464" s="3" t="s">
        <v>1393</v>
      </c>
      <c r="D464" s="3" t="str">
        <f ca="1">IFERROR(__xludf.DUMMYFUNCTION("GOOGLETRANSLATE(A464,""fr"",""en"")"),"isolate")</f>
        <v>isolate</v>
      </c>
      <c r="E464" s="3" t="str">
        <f ca="1">IFERROR(__xludf.DUMMYFUNCTION("GOOGLETRANSLATE(B464,""fr"",""en"")"),"We insulate windows to save energy.")</f>
        <v>We insulate windows to save energy.</v>
      </c>
    </row>
    <row r="465" spans="1:5" x14ac:dyDescent="0.25">
      <c r="A465" s="2" t="s">
        <v>1394</v>
      </c>
      <c r="B465" s="2" t="s">
        <v>1395</v>
      </c>
      <c r="C465" s="3" t="s">
        <v>1396</v>
      </c>
      <c r="D465" s="3" t="str">
        <f ca="1">IFERROR(__xludf.DUMMYFUNCTION("GOOGLETRANSLATE(A465,""fr"",""en"")"),"to testify")</f>
        <v>to testify</v>
      </c>
      <c r="E465" s="3" t="str">
        <f ca="1">IFERROR(__xludf.DUMMYFUNCTION("GOOGLETRANSLATE(B465,""fr"",""en"")"),"She testifies at the trial as a witness.")</f>
        <v>She testifies at the trial as a witness.</v>
      </c>
    </row>
    <row r="466" spans="1:5" x14ac:dyDescent="0.25">
      <c r="A466" s="2" t="s">
        <v>1397</v>
      </c>
      <c r="B466" s="2" t="s">
        <v>1398</v>
      </c>
      <c r="C466" s="3" t="s">
        <v>1399</v>
      </c>
      <c r="D466" s="3" t="str">
        <f ca="1">IFERROR(__xludf.DUMMYFUNCTION("GOOGLETRANSLATE(A466,""fr"",""en"")"),"spend")</f>
        <v>spend</v>
      </c>
      <c r="E466" s="3" t="str">
        <f ca="1">IFERROR(__xludf.DUMMYFUNCTION("GOOGLETRANSLATE(B466,""fr"",""en"")"),"They spend their money wisely.")</f>
        <v>They spend their money wisely.</v>
      </c>
    </row>
    <row r="467" spans="1:5" x14ac:dyDescent="0.25">
      <c r="A467" s="2" t="s">
        <v>1400</v>
      </c>
      <c r="B467" s="2" t="s">
        <v>1401</v>
      </c>
      <c r="C467" s="3" t="s">
        <v>1402</v>
      </c>
      <c r="D467" s="3" t="str">
        <f ca="1">IFERROR(__xludf.DUMMYFUNCTION("GOOGLETRANSLATE(A467,""fr"",""en"")"),"flee")</f>
        <v>flee</v>
      </c>
      <c r="E467" s="3" t="str">
        <f ca="1">IFERROR(__xludf.DUMMYFUNCTION("GOOGLETRANSLATE(B467,""fr"",""en"")"),"We flee conflict when possible.")</f>
        <v>We flee conflict when possible.</v>
      </c>
    </row>
    <row r="468" spans="1:5" x14ac:dyDescent="0.25">
      <c r="A468" s="2" t="s">
        <v>1403</v>
      </c>
      <c r="B468" s="2" t="s">
        <v>1404</v>
      </c>
      <c r="C468" s="3" t="s">
        <v>1405</v>
      </c>
      <c r="D468" s="3" t="str">
        <f ca="1">IFERROR(__xludf.DUMMYFUNCTION("GOOGLETRANSLATE(A468,""fr"",""en"")"),"to safeguard")</f>
        <v>to safeguard</v>
      </c>
      <c r="E468" s="3" t="str">
        <f ca="1">IFERROR(__xludf.DUMMYFUNCTION("GOOGLETRANSLATE(B468,""fr"",""en"")"),"She backs up her important files.")</f>
        <v>She backs up her important files.</v>
      </c>
    </row>
    <row r="469" spans="1:5" x14ac:dyDescent="0.25">
      <c r="A469" s="2" t="s">
        <v>1406</v>
      </c>
      <c r="B469" s="2" t="s">
        <v>1407</v>
      </c>
      <c r="C469" s="3" t="s">
        <v>1408</v>
      </c>
      <c r="D469" s="3" t="str">
        <f ca="1">IFERROR(__xludf.DUMMYFUNCTION("GOOGLETRANSLATE(A469,""fr"",""en"")"),"stabilize")</f>
        <v>stabilize</v>
      </c>
      <c r="E469" s="3" t="str">
        <f ca="1">IFERROR(__xludf.DUMMYFUNCTION("GOOGLETRANSLATE(B469,""fr"",""en"")"),"They stabilize the market with effective measures.")</f>
        <v>They stabilize the market with effective measures.</v>
      </c>
    </row>
    <row r="470" spans="1:5" x14ac:dyDescent="0.25">
      <c r="A470" s="2" t="s">
        <v>1409</v>
      </c>
      <c r="B470" s="2" t="s">
        <v>1410</v>
      </c>
      <c r="C470" s="3" t="s">
        <v>1411</v>
      </c>
      <c r="D470" s="3" t="str">
        <f ca="1">IFERROR(__xludf.DUMMYFUNCTION("GOOGLETRANSLATE(A470,""fr"",""en"")"),"river")</f>
        <v>river</v>
      </c>
      <c r="E470" s="3" t="str">
        <f ca="1">IFERROR(__xludf.DUMMYFUNCTION("GOOGLETRANSLATE(B470,""fr"",""en"")"),"We rivet our eyes on the spectacle.")</f>
        <v>We rivet our eyes on the spectacle.</v>
      </c>
    </row>
    <row r="471" spans="1:5" x14ac:dyDescent="0.25">
      <c r="A471" s="2" t="s">
        <v>1412</v>
      </c>
      <c r="B471" s="2" t="s">
        <v>1413</v>
      </c>
      <c r="C471" s="3" t="s">
        <v>1414</v>
      </c>
      <c r="D471" s="3" t="str">
        <f ca="1">IFERROR(__xludf.DUMMYFUNCTION("GOOGLETRANSLATE(A471,""fr"",""en"")"),"manipulate")</f>
        <v>manipulate</v>
      </c>
      <c r="E471" s="3" t="str">
        <f ca="1">IFERROR(__xludf.DUMMYFUNCTION("GOOGLETRANSLATE(B471,""fr"",""en"")"),"She handles objects with care.")</f>
        <v>She handles objects with care.</v>
      </c>
    </row>
    <row r="472" spans="1:5" x14ac:dyDescent="0.25">
      <c r="A472" s="2" t="s">
        <v>1415</v>
      </c>
      <c r="B472" s="2" t="s">
        <v>1416</v>
      </c>
      <c r="C472" s="3" t="s">
        <v>1417</v>
      </c>
      <c r="D472" s="3" t="str">
        <f ca="1">IFERROR(__xludf.DUMMYFUNCTION("GOOGLETRANSLATE(A472,""fr"",""en"")"),"force")</f>
        <v>force</v>
      </c>
      <c r="E472" s="3" t="str">
        <f ca="1">IFERROR(__xludf.DUMMYFUNCTION("GOOGLETRANSLATE(B472,""fr"",""en"")"),"They force the door to enter.")</f>
        <v>They force the door to enter.</v>
      </c>
    </row>
    <row r="473" spans="1:5" x14ac:dyDescent="0.25">
      <c r="A473" s="2" t="s">
        <v>1418</v>
      </c>
      <c r="B473" s="2" t="s">
        <v>1419</v>
      </c>
      <c r="C473" s="3" t="s">
        <v>1420</v>
      </c>
      <c r="D473" s="3" t="str">
        <f ca="1">IFERROR(__xludf.DUMMYFUNCTION("GOOGLETRANSLATE(A473,""fr"",""en"")"),"evolve")</f>
        <v>evolve</v>
      </c>
      <c r="E473" s="3" t="str">
        <f ca="1">IFERROR(__xludf.DUMMYFUNCTION("GOOGLETRANSLATE(B473,""fr"",""en"")"),"We are constantly evolving in our careers.")</f>
        <v>We are constantly evolving in our careers.</v>
      </c>
    </row>
    <row r="474" spans="1:5" x14ac:dyDescent="0.25">
      <c r="A474" s="2" t="s">
        <v>1421</v>
      </c>
      <c r="B474" s="2" t="s">
        <v>1422</v>
      </c>
      <c r="C474" s="3" t="s">
        <v>1423</v>
      </c>
      <c r="D474" s="3" t="str">
        <f ca="1">IFERROR(__xludf.DUMMYFUNCTION("GOOGLETRANSLATE(A474,""fr"",""en"")"),"borrow")</f>
        <v>borrow</v>
      </c>
      <c r="E474" s="3" t="str">
        <f ca="1">IFERROR(__xludf.DUMMYFUNCTION("GOOGLETRANSLATE(B474,""fr"",""en"")"),"She borrows books from the library.")</f>
        <v>She borrows books from the library.</v>
      </c>
    </row>
    <row r="475" spans="1:5" x14ac:dyDescent="0.25">
      <c r="A475" s="2" t="s">
        <v>1424</v>
      </c>
      <c r="B475" s="2" t="s">
        <v>1425</v>
      </c>
      <c r="C475" s="3" t="s">
        <v>1426</v>
      </c>
      <c r="D475" s="3" t="str">
        <f ca="1">IFERROR(__xludf.DUMMYFUNCTION("GOOGLETRANSLATE(A475,""fr"",""en"")"),"excuse")</f>
        <v>excuse</v>
      </c>
      <c r="E475" s="3" t="str">
        <f ca="1">IFERROR(__xludf.DUMMYFUNCTION("GOOGLETRANSLATE(B475,""fr"",""en"")"),"They apologize for the delay.")</f>
        <v>They apologize for the delay.</v>
      </c>
    </row>
    <row r="476" spans="1:5" x14ac:dyDescent="0.25">
      <c r="A476" s="2" t="s">
        <v>1427</v>
      </c>
      <c r="B476" s="2" t="s">
        <v>1428</v>
      </c>
      <c r="C476" s="3" t="s">
        <v>1429</v>
      </c>
      <c r="D476" s="3" t="str">
        <f ca="1">IFERROR(__xludf.DUMMYFUNCTION("GOOGLETRANSLATE(A476,""fr"",""en"")"),"to attempt")</f>
        <v>to attempt</v>
      </c>
      <c r="E476" s="3" t="str">
        <f ca="1">IFERROR(__xludf.DUMMYFUNCTION("GOOGLETRANSLATE(B476,""fr"",""en"")"),"We try new recipes every week.")</f>
        <v>We try new recipes every week.</v>
      </c>
    </row>
    <row r="477" spans="1:5" x14ac:dyDescent="0.25">
      <c r="A477" s="2" t="s">
        <v>1430</v>
      </c>
      <c r="B477" s="2" t="s">
        <v>1431</v>
      </c>
      <c r="C477" s="3" t="s">
        <v>1432</v>
      </c>
      <c r="D477" s="3" t="str">
        <f ca="1">IFERROR(__xludf.DUMMYFUNCTION("GOOGLETRANSLATE(A477,""fr"",""en"")"),"restrict")</f>
        <v>restrict</v>
      </c>
      <c r="E477" s="3" t="str">
        <f ca="1">IFERROR(__xludf.DUMMYFUNCTION("GOOGLETRANSLATE(B477,""fr"",""en"")"),"She restricts her sugar intake.")</f>
        <v>She restricts her sugar intake.</v>
      </c>
    </row>
    <row r="478" spans="1:5" x14ac:dyDescent="0.25">
      <c r="A478" s="2" t="s">
        <v>1433</v>
      </c>
      <c r="B478" s="2" t="s">
        <v>1434</v>
      </c>
      <c r="C478" s="3" t="s">
        <v>1435</v>
      </c>
      <c r="D478" s="3" t="str">
        <f ca="1">IFERROR(__xludf.DUMMYFUNCTION("GOOGLETRANSLATE(A478,""fr"",""en"")"),"interrupt")</f>
        <v>interrupt</v>
      </c>
      <c r="E478" s="3" t="str">
        <f ca="1">IFERROR(__xludf.DUMMYFUNCTION("GOOGLETRANSLATE(B478,""fr"",""en"")"),"They interrupt the meeting for a break.")</f>
        <v>They interrupt the meeting for a break.</v>
      </c>
    </row>
    <row r="479" spans="1:5" x14ac:dyDescent="0.25">
      <c r="A479" s="2" t="s">
        <v>1436</v>
      </c>
      <c r="B479" s="2" t="s">
        <v>1437</v>
      </c>
      <c r="C479" s="3" t="s">
        <v>1438</v>
      </c>
      <c r="D479" s="3" t="str">
        <f ca="1">IFERROR(__xludf.DUMMYFUNCTION("GOOGLETRANSLATE(A479,""fr"",""en"")"),"to question")</f>
        <v>to question</v>
      </c>
      <c r="E479" s="3" t="str">
        <f ca="1">IFERROR(__xludf.DUMMYFUNCTION("GOOGLETRANSLATE(B479,""fr"",""en"")"),"We interview candidates for the position.")</f>
        <v>We interview candidates for the position.</v>
      </c>
    </row>
    <row r="480" spans="1:5" x14ac:dyDescent="0.25">
      <c r="A480" s="2" t="s">
        <v>1439</v>
      </c>
      <c r="B480" s="2" t="s">
        <v>1440</v>
      </c>
      <c r="C480" s="3" t="s">
        <v>1441</v>
      </c>
      <c r="D480" s="3" t="str">
        <f ca="1">IFERROR(__xludf.DUMMYFUNCTION("GOOGLETRANSLATE(A480,""fr"",""en"")"),"start")</f>
        <v>start</v>
      </c>
      <c r="E480" s="3" t="str">
        <f ca="1">IFERROR(__xludf.DUMMYFUNCTION("GOOGLETRANSLATE(B480,""fr"",""en"")"),"She begins a new adventure.")</f>
        <v>She begins a new adventure.</v>
      </c>
    </row>
    <row r="481" spans="1:5" x14ac:dyDescent="0.25">
      <c r="A481" s="2" t="s">
        <v>1442</v>
      </c>
      <c r="B481" s="2" t="s">
        <v>1443</v>
      </c>
      <c r="C481" s="3" t="s">
        <v>1444</v>
      </c>
      <c r="D481" s="3" t="str">
        <f ca="1">IFERROR(__xludf.DUMMYFUNCTION("GOOGLETRANSLATE(A481,""fr"",""en"")"),"reproduce")</f>
        <v>reproduce</v>
      </c>
      <c r="E481" s="3" t="str">
        <f ca="1">IFERROR(__xludf.DUMMYFUNCTION("GOOGLETRANSLATE(B481,""fr"",""en"")"),"They reproduce the experimental conditions.")</f>
        <v>They reproduce the experimental conditions.</v>
      </c>
    </row>
    <row r="482" spans="1:5" x14ac:dyDescent="0.25">
      <c r="A482" s="2" t="s">
        <v>1445</v>
      </c>
      <c r="B482" s="2" t="s">
        <v>1446</v>
      </c>
      <c r="C482" s="3" t="s">
        <v>1447</v>
      </c>
      <c r="D482" s="3" t="str">
        <f ca="1">IFERROR(__xludf.DUMMYFUNCTION("GOOGLETRANSLATE(A482,""fr"",""en"")"),"procure")</f>
        <v>procure</v>
      </c>
      <c r="E482" s="3" t="str">
        <f ca="1">IFERROR(__xludf.DUMMYFUNCTION("GOOGLETRANSLATE(B482,""fr"",""en"")"),"We provide high quality services.")</f>
        <v>We provide high quality services.</v>
      </c>
    </row>
    <row r="483" spans="1:5" x14ac:dyDescent="0.25">
      <c r="A483" s="2" t="s">
        <v>1448</v>
      </c>
      <c r="B483" s="2" t="s">
        <v>1449</v>
      </c>
      <c r="C483" s="3" t="s">
        <v>1450</v>
      </c>
      <c r="D483" s="3" t="str">
        <f ca="1">IFERROR(__xludf.DUMMYFUNCTION("GOOGLETRANSLATE(A483,""fr"",""en"")"),"to remark")</f>
        <v>to remark</v>
      </c>
      <c r="E483" s="3" t="str">
        <f ca="1">IFERROR(__xludf.DUMMYFUNCTION("GOOGLETRANSLATE(B483,""fr"",""en"")"),"She notices an important detail.")</f>
        <v>She notices an important detail.</v>
      </c>
    </row>
    <row r="484" spans="1:5" x14ac:dyDescent="0.25">
      <c r="A484" s="2" t="s">
        <v>1451</v>
      </c>
      <c r="B484" s="2" t="s">
        <v>1452</v>
      </c>
      <c r="C484" s="3" t="s">
        <v>1453</v>
      </c>
      <c r="D484" s="3" t="str">
        <f ca="1">IFERROR(__xludf.DUMMYFUNCTION("GOOGLETRANSLATE(A484,""fr"",""en"")"),"spot")</f>
        <v>spot</v>
      </c>
      <c r="E484" s="3" t="str">
        <f ca="1">IFERROR(__xludf.DUMMYFUNCTION("GOOGLETRANSLATE(B484,""fr"",""en"")"),"They spot mistakes quickly.")</f>
        <v>They spot mistakes quickly.</v>
      </c>
    </row>
    <row r="485" spans="1:5" x14ac:dyDescent="0.25">
      <c r="A485" s="2" t="s">
        <v>1454</v>
      </c>
      <c r="B485" s="2" t="s">
        <v>1455</v>
      </c>
      <c r="C485" s="3" t="s">
        <v>1456</v>
      </c>
      <c r="D485" s="3" t="str">
        <f ca="1">IFERROR(__xludf.DUMMYFUNCTION("GOOGLETRANSLATE(A485,""fr"",""en"")"),"sit down")</f>
        <v>sit down</v>
      </c>
      <c r="E485" s="3" t="str">
        <f ca="1">IFERROR(__xludf.DUMMYFUNCTION("GOOGLETRANSLATE(B485,""fr"",""en"")"),"We seat the guests at the table.")</f>
        <v>We seat the guests at the table.</v>
      </c>
    </row>
    <row r="486" spans="1:5" x14ac:dyDescent="0.25">
      <c r="A486" s="2" t="s">
        <v>1457</v>
      </c>
      <c r="B486" s="2" t="s">
        <v>1458</v>
      </c>
      <c r="C486" s="3" t="s">
        <v>1459</v>
      </c>
      <c r="D486" s="3" t="str">
        <f ca="1">IFERROR(__xludf.DUMMYFUNCTION("GOOGLETRANSLATE(A486,""fr"",""en"")"),"hope")</f>
        <v>hope</v>
      </c>
      <c r="E486" s="3" t="str">
        <f ca="1">IFERROR(__xludf.DUMMYFUNCTION("GOOGLETRANSLATE(B486,""fr"",""en"")"),"She hopes for a better future.")</f>
        <v>She hopes for a better future.</v>
      </c>
    </row>
    <row r="487" spans="1:5" x14ac:dyDescent="0.25">
      <c r="A487" s="2" t="s">
        <v>1460</v>
      </c>
      <c r="B487" s="2" t="s">
        <v>1461</v>
      </c>
      <c r="C487" s="3" t="s">
        <v>1462</v>
      </c>
      <c r="D487" s="3" t="str">
        <f ca="1">IFERROR(__xludf.DUMMYFUNCTION("GOOGLETRANSLATE(A487,""fr"",""en"")"),"absorb")</f>
        <v>absorb</v>
      </c>
      <c r="E487" s="3" t="str">
        <f ca="1">IFERROR(__xludf.DUMMYFUNCTION("GOOGLETRANSLATE(B487,""fr"",""en"")"),"They absorb all the information.")</f>
        <v>They absorb all the information.</v>
      </c>
    </row>
    <row r="488" spans="1:5" x14ac:dyDescent="0.25">
      <c r="A488" s="2" t="s">
        <v>1463</v>
      </c>
      <c r="B488" s="2" t="s">
        <v>1464</v>
      </c>
      <c r="C488" s="3" t="s">
        <v>1465</v>
      </c>
      <c r="D488" s="3" t="str">
        <f ca="1">IFERROR(__xludf.DUMMYFUNCTION("GOOGLETRANSLATE(A488,""fr"",""en"")"),"request")</f>
        <v>request</v>
      </c>
      <c r="E488" s="3" t="str">
        <f ca="1">IFERROR(__xludf.DUMMYFUNCTION("GOOGLETRANSLATE(B488,""fr"",""en"")"),"We are asking for help from experts.")</f>
        <v>We are asking for help from experts.</v>
      </c>
    </row>
    <row r="489" spans="1:5" x14ac:dyDescent="0.25">
      <c r="A489" s="2" t="s">
        <v>1466</v>
      </c>
      <c r="B489" s="2" t="s">
        <v>1467</v>
      </c>
      <c r="C489" s="3" t="s">
        <v>1468</v>
      </c>
      <c r="D489" s="3" t="str">
        <f ca="1">IFERROR(__xludf.DUMMYFUNCTION("GOOGLETRANSLATE(A489,""fr"",""en"")"),"inspire")</f>
        <v>inspire</v>
      </c>
      <c r="E489" s="3" t="str">
        <f ca="1">IFERROR(__xludf.DUMMYFUNCTION("GOOGLETRANSLATE(B489,""fr"",""en"")"),"She inspires her colleagues with her enthusiasm.")</f>
        <v>She inspires her colleagues with her enthusiasm.</v>
      </c>
    </row>
    <row r="490" spans="1:5" x14ac:dyDescent="0.25">
      <c r="A490" s="2" t="s">
        <v>1469</v>
      </c>
      <c r="B490" s="2" t="s">
        <v>1470</v>
      </c>
      <c r="C490" s="3" t="s">
        <v>1471</v>
      </c>
      <c r="D490" s="3" t="str">
        <f ca="1">IFERROR(__xludf.DUMMYFUNCTION("GOOGLETRANSLATE(A490,""fr"",""en"")"),"confer")</f>
        <v>confer</v>
      </c>
      <c r="E490" s="3" t="str">
        <f ca="1">IFERROR(__xludf.DUMMYFUNCTION("GOOGLETRANSLATE(B490,""fr"",""en"")"),"They award prizes to the winners.")</f>
        <v>They award prizes to the winners.</v>
      </c>
    </row>
    <row r="491" spans="1:5" x14ac:dyDescent="0.25">
      <c r="A491" s="2" t="s">
        <v>1472</v>
      </c>
      <c r="B491" s="2" t="s">
        <v>1473</v>
      </c>
      <c r="C491" s="3" t="s">
        <v>1474</v>
      </c>
      <c r="D491" s="3" t="str">
        <f ca="1">IFERROR(__xludf.DUMMYFUNCTION("GOOGLETRANSLATE(A491,""fr"",""en"")"),"greet")</f>
        <v>greet</v>
      </c>
      <c r="E491" s="3" t="str">
        <f ca="1">IFERROR(__xludf.DUMMYFUNCTION("GOOGLETRANSLATE(B491,""fr"",""en"")"),"We greet our neighbor every morning.")</f>
        <v>We greet our neighbor every morning.</v>
      </c>
    </row>
    <row r="492" spans="1:5" x14ac:dyDescent="0.25">
      <c r="A492" s="2" t="s">
        <v>1475</v>
      </c>
      <c r="B492" s="2" t="s">
        <v>1476</v>
      </c>
      <c r="C492" s="3" t="s">
        <v>1477</v>
      </c>
      <c r="D492" s="3" t="str">
        <f ca="1">IFERROR(__xludf.DUMMYFUNCTION("GOOGLETRANSLATE(A492,""fr"",""en"")"),"align")</f>
        <v>align</v>
      </c>
      <c r="E492" s="3" t="str">
        <f ca="1">IFERROR(__xludf.DUMMYFUNCTION("GOOGLETRANSLATE(B492,""fr"",""en"")"),"She lines up the chairs for the meeting.")</f>
        <v>She lines up the chairs for the meeting.</v>
      </c>
    </row>
    <row r="493" spans="1:5" x14ac:dyDescent="0.25">
      <c r="A493" s="2" t="s">
        <v>1478</v>
      </c>
      <c r="B493" s="2" t="s">
        <v>1479</v>
      </c>
      <c r="C493" s="3" t="s">
        <v>1480</v>
      </c>
      <c r="D493" s="3" t="str">
        <f ca="1">IFERROR(__xludf.DUMMYFUNCTION("GOOGLETRANSLATE(A493,""fr"",""en"")"),"lie")</f>
        <v>lie</v>
      </c>
      <c r="E493" s="3" t="str">
        <f ca="1">IFERROR(__xludf.DUMMYFUNCTION("GOOGLETRANSLATE(B493,""fr"",""en"")"),"They rarely lie.")</f>
        <v>They rarely lie.</v>
      </c>
    </row>
    <row r="494" spans="1:5" x14ac:dyDescent="0.25">
      <c r="A494" s="2" t="s">
        <v>1481</v>
      </c>
      <c r="B494" s="2" t="s">
        <v>1482</v>
      </c>
      <c r="C494" s="3" t="s">
        <v>1483</v>
      </c>
      <c r="D494" s="3" t="str">
        <f ca="1">IFERROR(__xludf.DUMMYFUNCTION("GOOGLETRANSLATE(A494,""fr"",""en"")"),"recruit")</f>
        <v>recruit</v>
      </c>
      <c r="E494" s="3" t="str">
        <f ca="1">IFERROR(__xludf.DUMMYFUNCTION("GOOGLETRANSLATE(B494,""fr"",""en"")"),"We are recruiting new talent.")</f>
        <v>We are recruiting new talent.</v>
      </c>
    </row>
    <row r="495" spans="1:5" x14ac:dyDescent="0.25">
      <c r="A495" s="2" t="s">
        <v>1484</v>
      </c>
      <c r="B495" s="2" t="s">
        <v>1485</v>
      </c>
      <c r="C495" s="3" t="s">
        <v>1486</v>
      </c>
      <c r="D495" s="3" t="str">
        <f ca="1">IFERROR(__xludf.DUMMYFUNCTION("GOOGLETRANSLATE(A495,""fr"",""en"")"),"wash")</f>
        <v>wash</v>
      </c>
      <c r="E495" s="3" t="str">
        <f ca="1">IFERROR(__xludf.DUMMYFUNCTION("GOOGLETRANSLATE(B495,""fr"",""en"")"),"She washes her clothes every weekend.")</f>
        <v>She washes her clothes every weekend.</v>
      </c>
    </row>
    <row r="496" spans="1:5" x14ac:dyDescent="0.25">
      <c r="A496" s="2" t="s">
        <v>1487</v>
      </c>
      <c r="B496" s="2" t="s">
        <v>1488</v>
      </c>
      <c r="C496" s="3" t="s">
        <v>1489</v>
      </c>
      <c r="D496" s="3" t="str">
        <f ca="1">IFERROR(__xludf.DUMMYFUNCTION("GOOGLETRANSLATE(A496,""fr"",""en"")"),"reveal")</f>
        <v>reveal</v>
      </c>
      <c r="E496" s="3" t="str">
        <f ca="1">IFERROR(__xludf.DUMMYFUNCTION("GOOGLETRANSLATE(B496,""fr"",""en"")"),"They reveal the results of the investigation.")</f>
        <v>They reveal the results of the investigation.</v>
      </c>
    </row>
    <row r="497" spans="1:5" x14ac:dyDescent="0.25">
      <c r="A497" s="2" t="s">
        <v>1490</v>
      </c>
      <c r="B497" s="2" t="s">
        <v>1491</v>
      </c>
      <c r="C497" s="3" t="s">
        <v>1492</v>
      </c>
      <c r="D497" s="3" t="str">
        <f ca="1">IFERROR(__xludf.DUMMYFUNCTION("GOOGLETRANSLATE(A497,""fr"",""en"")"),"cool")</f>
        <v>cool</v>
      </c>
      <c r="E497" s="3" t="str">
        <f ca="1">IFERROR(__xludf.DUMMYFUNCTION("GOOGLETRANSLATE(B497,""fr"",""en"")"),"We cool the room with a fan.")</f>
        <v>We cool the room with a fan.</v>
      </c>
    </row>
    <row r="498" spans="1:5" x14ac:dyDescent="0.25">
      <c r="A498" s="2" t="s">
        <v>1493</v>
      </c>
      <c r="B498" s="2" t="s">
        <v>1494</v>
      </c>
      <c r="C498" s="3" t="s">
        <v>1495</v>
      </c>
      <c r="D498" s="3" t="str">
        <f ca="1">IFERROR(__xludf.DUMMYFUNCTION("GOOGLETRANSLATE(A498,""fr"",""en"")"),"re-form")</f>
        <v>re-form</v>
      </c>
      <c r="E498" s="3" t="str">
        <f ca="1">IFERROR(__xludf.DUMMYFUNCTION("GOOGLETRANSLATE(B498,""fr"",""en"")"),"She reforms the education system.")</f>
        <v>She reforms the education system.</v>
      </c>
    </row>
    <row r="499" spans="1:5" x14ac:dyDescent="0.25">
      <c r="A499" s="2" t="s">
        <v>1496</v>
      </c>
      <c r="B499" s="2" t="s">
        <v>1497</v>
      </c>
      <c r="C499" s="3" t="s">
        <v>1498</v>
      </c>
      <c r="D499" s="3" t="str">
        <f ca="1">IFERROR(__xludf.DUMMYFUNCTION("GOOGLETRANSLATE(A499,""fr"",""en"")"),"commit")</f>
        <v>commit</v>
      </c>
      <c r="E499" s="3" t="str">
        <f ca="1">IFERROR(__xludf.DUMMYFUNCTION("GOOGLETRANSLATE(B499,""fr"",""en"")"),"They sometimes make mistakes.")</f>
        <v>They sometimes make mistakes.</v>
      </c>
    </row>
    <row r="500" spans="1:5" x14ac:dyDescent="0.25">
      <c r="A500" s="2" t="s">
        <v>1499</v>
      </c>
      <c r="B500" s="2" t="s">
        <v>1500</v>
      </c>
      <c r="C500" s="3" t="s">
        <v>1501</v>
      </c>
      <c r="D500" s="3" t="str">
        <f ca="1">IFERROR(__xludf.DUMMYFUNCTION("GOOGLETRANSLATE(A500,""fr"",""en"")"),"to appear")</f>
        <v>to appear</v>
      </c>
      <c r="E500" s="3" t="str">
        <f ca="1">IFERROR(__xludf.DUMMYFUNCTION("GOOGLETRANSLATE(B500,""fr"",""en"")"),"We are among the best students in the class.")</f>
        <v>We are among the best students in the class.</v>
      </c>
    </row>
    <row r="501" spans="1:5" x14ac:dyDescent="0.25">
      <c r="A501" s="2" t="s">
        <v>1502</v>
      </c>
      <c r="B501" s="2" t="s">
        <v>1503</v>
      </c>
      <c r="C501" s="3" t="s">
        <v>1504</v>
      </c>
      <c r="D501" s="3" t="str">
        <f ca="1">IFERROR(__xludf.DUMMYFUNCTION("GOOGLETRANSLATE(A501,""fr"",""en"")"),"visualize")</f>
        <v>visualize</v>
      </c>
      <c r="E501" s="3" t="str">
        <f ca="1">IFERROR(__xludf.DUMMYFUNCTION("GOOGLETRANSLATE(B501,""fr"",""en"")"),"She views her future with optimism.")</f>
        <v>She views her future with optimism.</v>
      </c>
    </row>
    <row r="502" spans="1:5" x14ac:dyDescent="0.25">
      <c r="A502" s="2" t="s">
        <v>1505</v>
      </c>
      <c r="B502" s="2" t="s">
        <v>1506</v>
      </c>
      <c r="C502" s="3" t="s">
        <v>1507</v>
      </c>
      <c r="D502" s="3" t="str">
        <f ca="1">IFERROR(__xludf.DUMMYFUNCTION("GOOGLETRANSLATE(A502,""fr"",""en"")"),"modernize")</f>
        <v>modernize</v>
      </c>
      <c r="E502" s="3" t="str">
        <f ca="1">IFERROR(__xludf.DUMMYFUNCTION("GOOGLETRANSLATE(B502,""fr"",""en"")"),"We are modernizing our IT system.")</f>
        <v>We are modernizing our IT system.</v>
      </c>
    </row>
    <row r="503" spans="1:5" x14ac:dyDescent="0.25">
      <c r="A503" s="2" t="s">
        <v>1508</v>
      </c>
      <c r="B503" s="2" t="s">
        <v>1509</v>
      </c>
      <c r="C503" s="3" t="s">
        <v>1510</v>
      </c>
      <c r="D503" s="3" t="str">
        <f ca="1">IFERROR(__xludf.DUMMYFUNCTION("GOOGLETRANSLATE(A503,""fr"",""en"")"),"cease")</f>
        <v>cease</v>
      </c>
      <c r="E503" s="3" t="str">
        <f ca="1">IFERROR(__xludf.DUMMYFUNCTION("GOOGLETRANSLATE(B503,""fr"",""en"")"),"They stop working at noon.")</f>
        <v>They stop working at noon.</v>
      </c>
    </row>
    <row r="504" spans="1:5" x14ac:dyDescent="0.25">
      <c r="A504" s="2" t="s">
        <v>1511</v>
      </c>
      <c r="B504" s="2" t="s">
        <v>1512</v>
      </c>
      <c r="C504" s="3" t="s">
        <v>1513</v>
      </c>
      <c r="D504" s="3" t="str">
        <f ca="1">IFERROR(__xludf.DUMMYFUNCTION("GOOGLETRANSLATE(A504,""fr"",""en"")"),"to move away")</f>
        <v>to move away</v>
      </c>
      <c r="E504" s="3" t="str">
        <f ca="1">IFERROR(__xludf.DUMMYFUNCTION("GOOGLETRANSLATE(B504,""fr"",""en"")"),"We keep children away from danger.")</f>
        <v>We keep children away from danger.</v>
      </c>
    </row>
    <row r="505" spans="1:5" x14ac:dyDescent="0.25">
      <c r="A505" s="2" t="s">
        <v>1514</v>
      </c>
      <c r="B505" s="2" t="s">
        <v>1515</v>
      </c>
      <c r="C505" s="3" t="s">
        <v>1516</v>
      </c>
      <c r="D505" s="3" t="str">
        <f ca="1">IFERROR(__xludf.DUMMYFUNCTION("GOOGLETRANSLATE(A505,""fr"",""en"")"),"to delay")</f>
        <v>to delay</v>
      </c>
      <c r="E505" s="3" t="str">
        <f ca="1">IFERROR(__xludf.DUMMYFUNCTION("GOOGLETRANSLATE(B505,""fr"",""en"")"),"She delays the meeting by an hour.")</f>
        <v>She delays the meeting by an hour.</v>
      </c>
    </row>
    <row r="506" spans="1:5" x14ac:dyDescent="0.25">
      <c r="A506" s="2" t="s">
        <v>1517</v>
      </c>
      <c r="B506" s="2" t="s">
        <v>1518</v>
      </c>
      <c r="C506" s="3" t="s">
        <v>1519</v>
      </c>
      <c r="D506" s="3" t="str">
        <f ca="1">IFERROR(__xludf.DUMMYFUNCTION("GOOGLETRANSLATE(A506,""fr"",""en"")"),"pretend")</f>
        <v>pretend</v>
      </c>
      <c r="E506" s="3" t="str">
        <f ca="1">IFERROR(__xludf.DUMMYFUNCTION("GOOGLETRANSLATE(B506,""fr"",""en"")"),"They claim to be experts in the field.")</f>
        <v>They claim to be experts in the field.</v>
      </c>
    </row>
    <row r="507" spans="1:5" x14ac:dyDescent="0.25">
      <c r="A507" s="2" t="s">
        <v>1520</v>
      </c>
      <c r="B507" s="2" t="s">
        <v>1521</v>
      </c>
      <c r="C507" s="3" t="s">
        <v>1522</v>
      </c>
      <c r="D507" s="3" t="str">
        <f ca="1">IFERROR(__xludf.DUMMYFUNCTION("GOOGLETRANSLATE(A507,""fr"",""en"")"),"to release")</f>
        <v>to release</v>
      </c>
      <c r="E507" s="3" t="str">
        <f ca="1">IFERROR(__xludf.DUMMYFUNCTION("GOOGLETRANSLATE(B507,""fr"",""en"")"),"We sound the alarm in case of emergency.")</f>
        <v>We sound the alarm in case of emergency.</v>
      </c>
    </row>
    <row r="508" spans="1:5" x14ac:dyDescent="0.25">
      <c r="A508" s="2" t="s">
        <v>1523</v>
      </c>
      <c r="B508" s="2" t="s">
        <v>1524</v>
      </c>
      <c r="C508" s="3" t="s">
        <v>1525</v>
      </c>
      <c r="D508" s="3" t="str">
        <f ca="1">IFERROR(__xludf.DUMMYFUNCTION("GOOGLETRANSLATE(A508,""fr"",""en"")"),"cry")</f>
        <v>cry</v>
      </c>
      <c r="E508" s="3" t="str">
        <f ca="1">IFERROR(__xludf.DUMMYFUNCTION("GOOGLETRANSLATE(B508,""fr"",""en"")"),"She cries while watching a sad movie.")</f>
        <v>She cries while watching a sad movie.</v>
      </c>
    </row>
    <row r="509" spans="1:5" x14ac:dyDescent="0.25">
      <c r="A509" s="2" t="s">
        <v>1526</v>
      </c>
      <c r="B509" s="2" t="s">
        <v>1527</v>
      </c>
      <c r="C509" s="3" t="s">
        <v>1528</v>
      </c>
      <c r="D509" s="3" t="str">
        <f ca="1">IFERROR(__xludf.DUMMYFUNCTION("GOOGLETRANSLATE(A509,""fr"",""en"")"),"evacuate")</f>
        <v>evacuate</v>
      </c>
      <c r="E509" s="3" t="str">
        <f ca="1">IFERROR(__xludf.DUMMYFUNCTION("GOOGLETRANSLATE(B509,""fr"",""en"")"),"They evacuate the premises safely.")</f>
        <v>They evacuate the premises safely.</v>
      </c>
    </row>
    <row r="510" spans="1:5" x14ac:dyDescent="0.25">
      <c r="A510" s="2" t="s">
        <v>1529</v>
      </c>
      <c r="B510" s="2" t="s">
        <v>1530</v>
      </c>
      <c r="C510" s="3" t="s">
        <v>1531</v>
      </c>
      <c r="D510" s="3" t="str">
        <f ca="1">IFERROR(__xludf.DUMMYFUNCTION("GOOGLETRANSLATE(A510,""fr"",""en"")"),"manager")</f>
        <v>manager</v>
      </c>
      <c r="E510" s="3" t="str">
        <f ca="1">IFERROR(__xludf.DUMMYFUNCTION("GOOGLETRANSLATE(B510,""fr"",""en"")"),"We manage a team of ten people.")</f>
        <v>We manage a team of ten people.</v>
      </c>
    </row>
    <row r="511" spans="1:5" x14ac:dyDescent="0.25">
      <c r="A511" s="2" t="s">
        <v>1532</v>
      </c>
      <c r="B511" s="2" t="s">
        <v>1533</v>
      </c>
      <c r="C511" s="3" t="s">
        <v>1534</v>
      </c>
      <c r="D511" s="3" t="str">
        <f ca="1">IFERROR(__xludf.DUMMYFUNCTION("GOOGLETRANSLATE(A511,""fr"",""en"")"),"last")</f>
        <v>last</v>
      </c>
      <c r="E511" s="3" t="str">
        <f ca="1">IFERROR(__xludf.DUMMYFUNCTION("GOOGLETRANSLATE(B511,""fr"",""en"")"),"The film is two hours long.")</f>
        <v>The film is two hours long.</v>
      </c>
    </row>
    <row r="512" spans="1:5" x14ac:dyDescent="0.25">
      <c r="A512" s="2" t="s">
        <v>1535</v>
      </c>
      <c r="B512" s="2" t="s">
        <v>1536</v>
      </c>
      <c r="C512" s="3" t="s">
        <v>1537</v>
      </c>
      <c r="D512" s="3" t="str">
        <f ca="1">IFERROR(__xludf.DUMMYFUNCTION("GOOGLETRANSLATE(A512,""fr"",""en"")"),"cure")</f>
        <v>cure</v>
      </c>
      <c r="E512" s="3" t="str">
        <f ca="1">IFERROR(__xludf.DUMMYFUNCTION("GOOGLETRANSLATE(B512,""fr"",""en"")"),"She cares for patients with dedication.")</f>
        <v>She cares for patients with dedication.</v>
      </c>
    </row>
    <row r="513" spans="1:5" x14ac:dyDescent="0.25">
      <c r="A513" s="2" t="s">
        <v>1538</v>
      </c>
      <c r="B513" s="2" t="s">
        <v>1539</v>
      </c>
      <c r="C513" s="3" t="s">
        <v>1540</v>
      </c>
      <c r="D513" s="3" t="str">
        <f ca="1">IFERROR(__xludf.DUMMYFUNCTION("GOOGLETRANSLATE(A513,""fr"",""en"")"),"to illuminate")</f>
        <v>to illuminate</v>
      </c>
      <c r="E513" s="3" t="str">
        <f ca="1">IFERROR(__xludf.DUMMYFUNCTION("GOOGLETRANSLATE(B513,""fr"",""en"")"),"They illuminate the stage with spotlights.")</f>
        <v>They illuminate the stage with spotlights.</v>
      </c>
    </row>
    <row r="514" spans="1:5" x14ac:dyDescent="0.25">
      <c r="A514" s="2" t="s">
        <v>1541</v>
      </c>
      <c r="B514" s="2" t="s">
        <v>1542</v>
      </c>
      <c r="C514" s="3" t="s">
        <v>1543</v>
      </c>
      <c r="D514" s="3" t="str">
        <f ca="1">IFERROR(__xludf.DUMMYFUNCTION("GOOGLETRANSLATE(A514,""fr"",""en"")"),"denounce")</f>
        <v>denounce</v>
      </c>
      <c r="E514" s="3" t="str">
        <f ca="1">IFERROR(__xludf.DUMMYFUNCTION("GOOGLETRANSLATE(B514,""fr"",""en"")"),"We denounce acts of corruption.")</f>
        <v>We denounce acts of corruption.</v>
      </c>
    </row>
    <row r="515" spans="1:5" x14ac:dyDescent="0.25">
      <c r="A515" s="2" t="s">
        <v>1544</v>
      </c>
      <c r="B515" s="2" t="s">
        <v>1545</v>
      </c>
      <c r="C515" s="3" t="s">
        <v>1546</v>
      </c>
      <c r="D515" s="3" t="str">
        <f ca="1">IFERROR(__xludf.DUMMYFUNCTION("GOOGLETRANSLATE(A515,""fr"",""en"")"),"to resort")</f>
        <v>to resort</v>
      </c>
      <c r="E515" s="3" t="str">
        <f ca="1">IFERROR(__xludf.DUMMYFUNCTION("GOOGLETRANSLATE(B515,""fr"",""en"")"),"She turns to experts for advice.")</f>
        <v>She turns to experts for advice.</v>
      </c>
    </row>
    <row r="516" spans="1:5" x14ac:dyDescent="0.25">
      <c r="A516" s="2" t="s">
        <v>1547</v>
      </c>
      <c r="B516" s="2" t="s">
        <v>1548</v>
      </c>
      <c r="C516" s="3" t="s">
        <v>1549</v>
      </c>
      <c r="D516" s="3" t="str">
        <f ca="1">IFERROR(__xludf.DUMMYFUNCTION("GOOGLETRANSLATE(A516,""fr"",""en"")"),"to erase")</f>
        <v>to erase</v>
      </c>
      <c r="E516" s="3" t="str">
        <f ca="1">IFERROR(__xludf.DUMMYFUNCTION("GOOGLETRANSLATE(B516,""fr"",""en"")"),"They erase obsolete data.")</f>
        <v>They erase obsolete data.</v>
      </c>
    </row>
    <row r="517" spans="1:5" x14ac:dyDescent="0.25">
      <c r="A517" s="2" t="s">
        <v>1550</v>
      </c>
      <c r="B517" s="2" t="s">
        <v>1551</v>
      </c>
      <c r="C517" s="3" t="s">
        <v>1552</v>
      </c>
      <c r="D517" s="3" t="str">
        <f ca="1">IFERROR(__xludf.DUMMYFUNCTION("GOOGLETRANSLATE(A517,""fr"",""en"")"),"honor")</f>
        <v>honor</v>
      </c>
      <c r="E517" s="3" t="str">
        <f ca="1">IFERROR(__xludf.DUMMYFUNCTION("GOOGLETRANSLATE(B517,""fr"",""en"")"),"We honor veterans.")</f>
        <v>We honor veterans.</v>
      </c>
    </row>
    <row r="518" spans="1:5" x14ac:dyDescent="0.25">
      <c r="A518" s="2" t="s">
        <v>1553</v>
      </c>
      <c r="B518" s="2" t="s">
        <v>1554</v>
      </c>
      <c r="C518" s="3" t="s">
        <v>1555</v>
      </c>
      <c r="D518" s="3" t="str">
        <f ca="1">IFERROR(__xludf.DUMMYFUNCTION("GOOGLETRANSLATE(A518,""fr"",""en"")"),"to endow")</f>
        <v>to endow</v>
      </c>
      <c r="E518" s="3" t="str">
        <f ca="1">IFERROR(__xludf.DUMMYFUNCTION("GOOGLETRANSLATE(B518,""fr"",""en"")"),"She provides the school with new equipment.")</f>
        <v>She provides the school with new equipment.</v>
      </c>
    </row>
    <row r="519" spans="1:5" x14ac:dyDescent="0.25">
      <c r="A519" s="2" t="s">
        <v>1556</v>
      </c>
      <c r="B519" s="2" t="s">
        <v>1557</v>
      </c>
      <c r="C519" s="3" t="s">
        <v>1558</v>
      </c>
      <c r="D519" s="3" t="str">
        <f ca="1">IFERROR(__xludf.DUMMYFUNCTION("GOOGLETRANSLATE(A519,""fr"",""en"")"),"agree")</f>
        <v>agree</v>
      </c>
      <c r="E519" s="3" t="str">
        <f ca="1">IFERROR(__xludf.DUMMYFUNCTION("GOOGLETRANSLATE(B519,""fr"",""en"")"),"They agree on a date for the meeting.")</f>
        <v>They agree on a date for the meeting.</v>
      </c>
    </row>
    <row r="520" spans="1:5" x14ac:dyDescent="0.25">
      <c r="A520" s="2" t="s">
        <v>1559</v>
      </c>
      <c r="B520" s="2" t="s">
        <v>1560</v>
      </c>
      <c r="C520" s="3" t="s">
        <v>1561</v>
      </c>
      <c r="D520" s="3" t="str">
        <f ca="1">IFERROR(__xludf.DUMMYFUNCTION("GOOGLETRANSLATE(A520,""fr"",""en"")"),"bind")</f>
        <v>bind</v>
      </c>
      <c r="E520" s="3" t="str">
        <f ca="1">IFERROR(__xludf.DUMMYFUNCTION("GOOGLETRANSLATE(B520,""fr"",""en"")"),"We bind the documents with staples.")</f>
        <v>We bind the documents with staples.</v>
      </c>
    </row>
    <row r="521" spans="1:5" x14ac:dyDescent="0.25">
      <c r="A521" s="2" t="s">
        <v>1562</v>
      </c>
      <c r="B521" s="2" t="s">
        <v>1563</v>
      </c>
      <c r="C521" s="3" t="s">
        <v>1564</v>
      </c>
      <c r="D521" s="3" t="str">
        <f ca="1">IFERROR(__xludf.DUMMYFUNCTION("GOOGLETRANSLATE(A521,""fr"",""en"")"),"circulate")</f>
        <v>circulate</v>
      </c>
      <c r="E521" s="3" t="str">
        <f ca="1">IFERROR(__xludf.DUMMYFUNCTION("GOOGLETRANSLATE(B521,""fr"",""en"")"),"She moves freely around the building.")</f>
        <v>She moves freely around the building.</v>
      </c>
    </row>
    <row r="522" spans="1:5" x14ac:dyDescent="0.25">
      <c r="A522" s="2" t="s">
        <v>1565</v>
      </c>
      <c r="B522" s="2" t="s">
        <v>1566</v>
      </c>
      <c r="C522" s="3" t="s">
        <v>1567</v>
      </c>
      <c r="D522" s="3" t="str">
        <f ca="1">IFERROR(__xludf.DUMMYFUNCTION("GOOGLETRANSLATE(A522,""fr"",""en"")"),"streamline")</f>
        <v>streamline</v>
      </c>
      <c r="E522" s="3" t="str">
        <f ca="1">IFERROR(__xludf.DUMMYFUNCTION("GOOGLETRANSLATE(B522,""fr"",""en"")"),"They streamline production processes.")</f>
        <v>They streamline production processes.</v>
      </c>
    </row>
    <row r="523" spans="1:5" x14ac:dyDescent="0.25">
      <c r="A523" s="2" t="s">
        <v>1568</v>
      </c>
      <c r="B523" s="2" t="s">
        <v>1569</v>
      </c>
      <c r="C523" s="3" t="s">
        <v>1570</v>
      </c>
      <c r="D523" s="3" t="str">
        <f ca="1">IFERROR(__xludf.DUMMYFUNCTION("GOOGLETRANSLATE(A523,""fr"",""en"")"),"to route")</f>
        <v>to route</v>
      </c>
      <c r="E523" s="3" t="str">
        <f ca="1">IFERROR(__xludf.DUMMYFUNCTION("GOOGLETRANSLATE(B523,""fr"",""en"")"),"We transport goods by train.")</f>
        <v>We transport goods by train.</v>
      </c>
    </row>
    <row r="524" spans="1:5" x14ac:dyDescent="0.25">
      <c r="A524" s="2" t="s">
        <v>1571</v>
      </c>
      <c r="B524" s="2" t="s">
        <v>1572</v>
      </c>
      <c r="C524" s="3" t="s">
        <v>1573</v>
      </c>
      <c r="D524" s="3" t="str">
        <f ca="1">IFERROR(__xludf.DUMMYFUNCTION("GOOGLETRANSLATE(A524,""fr"",""en"")"),"divide")</f>
        <v>divide</v>
      </c>
      <c r="E524" s="3" t="str">
        <f ca="1">IFERROR(__xludf.DUMMYFUNCTION("GOOGLETRANSLATE(B524,""fr"",""en"")"),"It divides work into manageable tasks.")</f>
        <v>It divides work into manageable tasks.</v>
      </c>
    </row>
    <row r="525" spans="1:5" x14ac:dyDescent="0.25">
      <c r="A525" s="2" t="s">
        <v>1574</v>
      </c>
      <c r="B525" s="2" t="s">
        <v>1575</v>
      </c>
      <c r="C525" s="3" t="s">
        <v>1576</v>
      </c>
      <c r="D525" s="3" t="str">
        <f ca="1">IFERROR(__xludf.DUMMYFUNCTION("GOOGLETRANSLATE(A525,""fr"",""en"")"),"go back up")</f>
        <v>go back up</v>
      </c>
      <c r="E525" s="3" t="str">
        <f ca="1">IFERROR(__xludf.DUMMYFUNCTION("GOOGLETRANSLATE(B525,""fr"",""en"")"),"They wind the watch every morning.")</f>
        <v>They wind the watch every morning.</v>
      </c>
    </row>
    <row r="526" spans="1:5" x14ac:dyDescent="0.25">
      <c r="A526" s="2" t="s">
        <v>1577</v>
      </c>
      <c r="B526" s="2" t="s">
        <v>1578</v>
      </c>
      <c r="C526" s="3" t="s">
        <v>1579</v>
      </c>
      <c r="D526" s="3" t="str">
        <f ca="1">IFERROR(__xludf.DUMMYFUNCTION("GOOGLETRANSLATE(A526,""fr"",""en"")"),"escape")</f>
        <v>escape</v>
      </c>
      <c r="E526" s="3" t="str">
        <f ca="1">IFERROR(__xludf.DUMMYFUNCTION("GOOGLETRANSLATE(B526,""fr"",""en"")"),"We escape the daily routine.")</f>
        <v>We escape the daily routine.</v>
      </c>
    </row>
    <row r="527" spans="1:5" x14ac:dyDescent="0.25">
      <c r="A527" s="2" t="s">
        <v>1580</v>
      </c>
      <c r="B527" s="2" t="s">
        <v>1581</v>
      </c>
      <c r="C527" s="3" t="s">
        <v>1582</v>
      </c>
      <c r="D527" s="3" t="str">
        <f ca="1">IFERROR(__xludf.DUMMYFUNCTION("GOOGLETRANSLATE(A527,""fr"",""en"")"),"to classify")</f>
        <v>to classify</v>
      </c>
      <c r="E527" s="3" t="str">
        <f ca="1">IFERROR(__xludf.DUMMYFUNCTION("GOOGLETRANSLATE(B527,""fr"",""en"")"),"She classifies the files in alphabetical order.")</f>
        <v>She classifies the files in alphabetical order.</v>
      </c>
    </row>
    <row r="528" spans="1:5" x14ac:dyDescent="0.25">
      <c r="A528" s="2" t="s">
        <v>1583</v>
      </c>
      <c r="B528" s="2" t="s">
        <v>1584</v>
      </c>
      <c r="C528" s="3" t="s">
        <v>1585</v>
      </c>
      <c r="D528" s="3" t="str">
        <f ca="1">IFERROR(__xludf.DUMMYFUNCTION("GOOGLETRANSLATE(A528,""fr"",""en"")"),"take away")</f>
        <v>take away</v>
      </c>
      <c r="E528" s="3" t="str">
        <f ca="1">IFERROR(__xludf.DUMMYFUNCTION("GOOGLETRANSLATE(B528,""fr"",""en"")"),"They take away memories from every trip.")</f>
        <v>They take away memories from every trip.</v>
      </c>
    </row>
    <row r="529" spans="1:5" x14ac:dyDescent="0.25">
      <c r="A529" s="2" t="s">
        <v>1586</v>
      </c>
      <c r="B529" s="2" t="s">
        <v>1587</v>
      </c>
      <c r="C529" s="3" t="s">
        <v>1588</v>
      </c>
      <c r="D529" s="3" t="str">
        <f ca="1">IFERROR(__xludf.DUMMYFUNCTION("GOOGLETRANSLATE(A529,""fr"",""en"")"),"slide")</f>
        <v>slide</v>
      </c>
      <c r="E529" s="3" t="str">
        <f ca="1">IFERROR(__xludf.DUMMYFUNCTION("GOOGLETRANSLATE(B529,""fr"",""en"")"),"We slide on the ice in winter.")</f>
        <v>We slide on the ice in winter.</v>
      </c>
    </row>
    <row r="530" spans="1:5" x14ac:dyDescent="0.25">
      <c r="A530" s="2" t="s">
        <v>1589</v>
      </c>
      <c r="B530" s="2" t="s">
        <v>1590</v>
      </c>
      <c r="C530" s="3" t="s">
        <v>1591</v>
      </c>
      <c r="D530" s="3" t="str">
        <f ca="1">IFERROR(__xludf.DUMMYFUNCTION("GOOGLETRANSLATE(A530,""fr"",""en"")"),"break")</f>
        <v>break</v>
      </c>
      <c r="E530" s="3" t="str">
        <f ca="1">IFERROR(__xludf.DUMMYFUNCTION("GOOGLETRANSLATE(B530,""fr"",""en"")"),"She breaks the silence with a joke.")</f>
        <v>She breaks the silence with a joke.</v>
      </c>
    </row>
    <row r="531" spans="1:5" x14ac:dyDescent="0.25">
      <c r="A531" s="2" t="s">
        <v>1592</v>
      </c>
      <c r="B531" s="2" t="s">
        <v>1593</v>
      </c>
      <c r="C531" s="3" t="s">
        <v>1594</v>
      </c>
      <c r="D531" s="3" t="str">
        <f ca="1">IFERROR(__xludf.DUMMYFUNCTION("GOOGLETRANSLATE(A531,""fr"",""en"")"),"heal")</f>
        <v>heal</v>
      </c>
      <c r="E531" s="3" t="str">
        <f ca="1">IFERROR(__xludf.DUMMYFUNCTION("GOOGLETRANSLATE(B531,""fr"",""en"")"),"They heal quickly after surgery.")</f>
        <v>They heal quickly after surgery.</v>
      </c>
    </row>
    <row r="532" spans="1:5" x14ac:dyDescent="0.25">
      <c r="A532" s="2" t="s">
        <v>1595</v>
      </c>
      <c r="B532" s="2" t="s">
        <v>1596</v>
      </c>
      <c r="C532" s="3" t="s">
        <v>1597</v>
      </c>
      <c r="D532" s="3" t="str">
        <f ca="1">IFERROR(__xludf.DUMMYFUNCTION("GOOGLETRANSLATE(A532,""fr"",""en"")"),"join")</f>
        <v>join</v>
      </c>
      <c r="E532" s="3" t="str">
        <f ca="1">IFERROR(__xludf.DUMMYFUNCTION("GOOGLETRANSLATE(B532,""fr"",""en"")"),"We adhere to the rules of the organization.")</f>
        <v>We adhere to the rules of the organization.</v>
      </c>
    </row>
    <row r="533" spans="1:5" x14ac:dyDescent="0.25">
      <c r="A533" s="2" t="s">
        <v>1598</v>
      </c>
      <c r="B533" s="2" t="s">
        <v>1599</v>
      </c>
      <c r="C533" s="3" t="s">
        <v>1600</v>
      </c>
      <c r="D533" s="3" t="str">
        <f ca="1">IFERROR(__xludf.DUMMYFUNCTION("GOOGLETRANSLATE(A533,""fr"",""en"")"),"to fear")</f>
        <v>to fear</v>
      </c>
      <c r="E533" s="3" t="str">
        <f ca="1">IFERROR(__xludf.DUMMYFUNCTION("GOOGLETRANSLATE(B533,""fr"",""en"")"),"She is afraid of heights.")</f>
        <v>She is afraid of heights.</v>
      </c>
    </row>
    <row r="534" spans="1:5" x14ac:dyDescent="0.25">
      <c r="A534" s="2" t="s">
        <v>1601</v>
      </c>
      <c r="B534" s="2" t="s">
        <v>1602</v>
      </c>
      <c r="C534" s="3" t="s">
        <v>1603</v>
      </c>
      <c r="D534" s="3" t="str">
        <f ca="1">IFERROR(__xludf.DUMMYFUNCTION("GOOGLETRANSLATE(A534,""fr"",""en"")"),"compose")</f>
        <v>compose</v>
      </c>
      <c r="E534" s="3" t="str">
        <f ca="1">IFERROR(__xludf.DUMMYFUNCTION("GOOGLETRANSLATE(B534,""fr"",""en"")"),"They are composing a new song.")</f>
        <v>They are composing a new song.</v>
      </c>
    </row>
    <row r="535" spans="1:5" x14ac:dyDescent="0.25">
      <c r="A535" s="2" t="s">
        <v>1604</v>
      </c>
      <c r="B535" s="2" t="s">
        <v>1605</v>
      </c>
      <c r="C535" s="3" t="s">
        <v>1606</v>
      </c>
      <c r="D535" s="3" t="str">
        <f ca="1">IFERROR(__xludf.DUMMYFUNCTION("GOOGLETRANSLATE(A535,""fr"",""en"")"),"import")</f>
        <v>import</v>
      </c>
      <c r="E535" s="3" t="str">
        <f ca="1">IFERROR(__xludf.DUMMYFUNCTION("GOOGLETRANSLATE(B535,""fr"",""en"")"),"We import quality products.")</f>
        <v>We import quality products.</v>
      </c>
    </row>
    <row r="536" spans="1:5" x14ac:dyDescent="0.25">
      <c r="A536" s="2" t="s">
        <v>1607</v>
      </c>
      <c r="B536" s="2" t="s">
        <v>1608</v>
      </c>
      <c r="C536" s="3" t="s">
        <v>1609</v>
      </c>
      <c r="D536" s="3" t="str">
        <f ca="1">IFERROR(__xludf.DUMMYFUNCTION("GOOGLETRANSLATE(A536,""fr"",""en"")"),"to overcome")</f>
        <v>to overcome</v>
      </c>
      <c r="E536" s="3" t="str">
        <f ca="1">IFERROR(__xludf.DUMMYFUNCTION("GOOGLETRANSLATE(B536,""fr"",""en"")"),"She conquers her fears with determination.")</f>
        <v>She conquers her fears with determination.</v>
      </c>
    </row>
    <row r="537" spans="1:5" x14ac:dyDescent="0.25">
      <c r="A537" s="2" t="s">
        <v>1610</v>
      </c>
      <c r="B537" s="2" t="s">
        <v>1611</v>
      </c>
      <c r="C537" s="3" t="s">
        <v>1612</v>
      </c>
      <c r="D537" s="3" t="str">
        <f ca="1">IFERROR(__xludf.DUMMYFUNCTION("GOOGLETRANSLATE(A537,""fr"",""en"")"),"to hinder")</f>
        <v>to hinder</v>
      </c>
      <c r="E537" s="3" t="str">
        <f ca="1">IFERROR(__xludf.DUMMYFUNCTION("GOOGLETRANSLATE(B537,""fr"",""en"")"),"They hinder progress with strict regulations.")</f>
        <v>They hinder progress with strict regulations.</v>
      </c>
    </row>
    <row r="538" spans="1:5" x14ac:dyDescent="0.25">
      <c r="A538" s="2" t="s">
        <v>1613</v>
      </c>
      <c r="B538" s="2" t="s">
        <v>1614</v>
      </c>
      <c r="C538" s="3" t="s">
        <v>1615</v>
      </c>
      <c r="D538" s="3" t="str">
        <f ca="1">IFERROR(__xludf.DUMMYFUNCTION("GOOGLETRANSLATE(A538,""fr"",""en"")"),"maximize")</f>
        <v>maximize</v>
      </c>
      <c r="E538" s="3" t="str">
        <f ca="1">IFERROR(__xludf.DUMMYFUNCTION("GOOGLETRANSLATE(B538,""fr"",""en"")"),"We are maximizing our profits this year.")</f>
        <v>We are maximizing our profits this year.</v>
      </c>
    </row>
    <row r="539" spans="1:5" x14ac:dyDescent="0.25">
      <c r="A539" s="2" t="s">
        <v>1616</v>
      </c>
      <c r="B539" s="2" t="s">
        <v>1617</v>
      </c>
      <c r="C539" s="3" t="s">
        <v>1618</v>
      </c>
      <c r="D539" s="3" t="str">
        <f ca="1">IFERROR(__xludf.DUMMYFUNCTION("GOOGLETRANSLATE(A539,""fr"",""en"")"),"redo")</f>
        <v>redo</v>
      </c>
      <c r="E539" s="3" t="str">
        <f ca="1">IFERROR(__xludf.DUMMYFUNCTION("GOOGLETRANSLATE(B539,""fr"",""en"")"),"She is redecorating her house.")</f>
        <v>She is redecorating her house.</v>
      </c>
    </row>
    <row r="540" spans="1:5" x14ac:dyDescent="0.25">
      <c r="A540" s="2" t="s">
        <v>1619</v>
      </c>
      <c r="B540" s="2" t="s">
        <v>1620</v>
      </c>
      <c r="C540" s="3" t="s">
        <v>1621</v>
      </c>
      <c r="D540" s="3" t="str">
        <f ca="1">IFERROR(__xludf.DUMMYFUNCTION("GOOGLETRANSLATE(A540,""fr"",""en"")"),"reexamine")</f>
        <v>reexamine</v>
      </c>
      <c r="E540" s="3" t="str">
        <f ca="1">IFERROR(__xludf.DUMMYFUNCTION("GOOGLETRANSLATE(B540,""fr"",""en"")"),"They review the evidence before making a decision.")</f>
        <v>They review the evidence before making a decision.</v>
      </c>
    </row>
    <row r="541" spans="1:5" x14ac:dyDescent="0.25">
      <c r="A541" s="2" t="s">
        <v>1622</v>
      </c>
      <c r="B541" s="2" t="s">
        <v>1623</v>
      </c>
      <c r="C541" s="3" t="s">
        <v>1624</v>
      </c>
      <c r="D541" s="3" t="str">
        <f ca="1">IFERROR(__xludf.DUMMYFUNCTION("GOOGLETRANSLATE(A541,""fr"",""en"")"),"export")</f>
        <v>export</v>
      </c>
      <c r="E541" s="3" t="str">
        <f ca="1">IFERROR(__xludf.DUMMYFUNCTION("GOOGLETRANSLATE(B541,""fr"",""en"")"),"We export our products internationally.")</f>
        <v>We export our products internationally.</v>
      </c>
    </row>
    <row r="542" spans="1:5" x14ac:dyDescent="0.25">
      <c r="A542" s="2" t="s">
        <v>1625</v>
      </c>
      <c r="B542" s="2" t="s">
        <v>1626</v>
      </c>
      <c r="C542" s="3" t="s">
        <v>1627</v>
      </c>
      <c r="D542" s="3" t="str">
        <f ca="1">IFERROR(__xludf.DUMMYFUNCTION("GOOGLETRANSLATE(A542,""fr"",""en"")"),"cross")</f>
        <v>cross</v>
      </c>
      <c r="E542" s="3" t="str">
        <f ca="1">IFERROR(__xludf.DUMMYFUNCTION("GOOGLETRANSLATE(B542,""fr"",""en"")"),"She overcomes obstacles with perseverance.")</f>
        <v>She overcomes obstacles with perseverance.</v>
      </c>
    </row>
    <row r="543" spans="1:5" x14ac:dyDescent="0.25">
      <c r="A543" s="2" t="s">
        <v>1628</v>
      </c>
      <c r="B543" s="2" t="s">
        <v>1629</v>
      </c>
      <c r="C543" s="3" t="s">
        <v>1630</v>
      </c>
      <c r="D543" s="3" t="str">
        <f ca="1">IFERROR(__xludf.DUMMYFUNCTION("GOOGLETRANSLATE(A543,""fr"",""en"")"),"to evoke")</f>
        <v>to evoke</v>
      </c>
      <c r="E543" s="3" t="str">
        <f ca="1">IFERROR(__xludf.DUMMYFUNCTION("GOOGLETRANSLATE(B543,""fr"",""en"")"),"They evoke childhood memories.")</f>
        <v>They evoke childhood memories.</v>
      </c>
    </row>
    <row r="544" spans="1:5" x14ac:dyDescent="0.25">
      <c r="A544" s="2" t="s">
        <v>1631</v>
      </c>
      <c r="B544" s="2" t="s">
        <v>1632</v>
      </c>
      <c r="C544" s="3" t="s">
        <v>1633</v>
      </c>
      <c r="D544" s="3" t="str">
        <f ca="1">IFERROR(__xludf.DUMMYFUNCTION("GOOGLETRANSLATE(A544,""fr"",""en"")"),"ratify")</f>
        <v>ratify</v>
      </c>
      <c r="E544" s="3" t="str">
        <f ca="1">IFERROR(__xludf.DUMMYFUNCTION("GOOGLETRANSLATE(B544,""fr"",""en"")"),"We ratify the treaty with enthusiasm.")</f>
        <v>We ratify the treaty with enthusiasm.</v>
      </c>
    </row>
    <row r="545" spans="1:5" x14ac:dyDescent="0.25">
      <c r="A545" s="2" t="s">
        <v>1634</v>
      </c>
      <c r="B545" s="2" t="s">
        <v>1635</v>
      </c>
      <c r="C545" s="3" t="s">
        <v>1636</v>
      </c>
      <c r="D545" s="3" t="str">
        <f ca="1">IFERROR(__xludf.DUMMYFUNCTION("GOOGLETRANSLATE(A545,""fr"",""en"")"),"pray")</f>
        <v>pray</v>
      </c>
      <c r="E545" s="3" t="str">
        <f ca="1">IFERROR(__xludf.DUMMYFUNCTION("GOOGLETRANSLATE(B545,""fr"",""en"")"),"She prays for peace.")</f>
        <v>She prays for peace.</v>
      </c>
    </row>
    <row r="546" spans="1:5" x14ac:dyDescent="0.25">
      <c r="A546" s="2" t="s">
        <v>1637</v>
      </c>
      <c r="B546" s="2" t="s">
        <v>1638</v>
      </c>
      <c r="C546" s="3" t="s">
        <v>1639</v>
      </c>
      <c r="D546" s="3" t="str">
        <f ca="1">IFERROR(__xludf.DUMMYFUNCTION("GOOGLETRANSLATE(A546,""fr"",""en"")"),"breathe")</f>
        <v>breathe</v>
      </c>
      <c r="E546" s="3" t="str">
        <f ca="1">IFERROR(__xludf.DUMMYFUNCTION("GOOGLETRANSLATE(B546,""fr"",""en"")"),"They breathe deeply to relax.")</f>
        <v>They breathe deeply to relax.</v>
      </c>
    </row>
    <row r="547" spans="1:5" x14ac:dyDescent="0.25">
      <c r="A547" s="2" t="s">
        <v>1640</v>
      </c>
      <c r="B547" s="2" t="s">
        <v>1641</v>
      </c>
      <c r="C547" s="3" t="s">
        <v>1642</v>
      </c>
      <c r="D547" s="3" t="str">
        <f ca="1">IFERROR(__xludf.DUMMYFUNCTION("GOOGLETRANSLATE(A547,""fr"",""en"")"),"grow")</f>
        <v>grow</v>
      </c>
      <c r="E547" s="3" t="str">
        <f ca="1">IFERROR(__xludf.DUMMYFUNCTION("GOOGLETRANSLATE(B547,""fr"",""en"")"),"We are growing rapidly in the market.")</f>
        <v>We are growing rapidly in the market.</v>
      </c>
    </row>
    <row r="548" spans="1:5" x14ac:dyDescent="0.25">
      <c r="A548" s="2" t="s">
        <v>1643</v>
      </c>
      <c r="B548" s="2" t="s">
        <v>1644</v>
      </c>
      <c r="C548" s="3" t="s">
        <v>1645</v>
      </c>
      <c r="D548" s="3" t="str">
        <f ca="1">IFERROR(__xludf.DUMMYFUNCTION("GOOGLETRANSLATE(A548,""fr"",""en"")"),"punish")</f>
        <v>punish</v>
      </c>
      <c r="E548" s="3" t="str">
        <f ca="1">IFERROR(__xludf.DUMMYFUNCTION("GOOGLETRANSLATE(B548,""fr"",""en"")"),"She punishes students who cheat.")</f>
        <v>She punishes students who cheat.</v>
      </c>
    </row>
    <row r="549" spans="1:5" x14ac:dyDescent="0.25">
      <c r="A549" s="2" t="s">
        <v>1646</v>
      </c>
      <c r="B549" s="2" t="s">
        <v>1647</v>
      </c>
      <c r="C549" s="3" t="s">
        <v>1648</v>
      </c>
      <c r="D549" s="3" t="str">
        <f ca="1">IFERROR(__xludf.DUMMYFUNCTION("GOOGLETRANSLATE(A549,""fr"",""en"")"),"order")</f>
        <v>order</v>
      </c>
      <c r="E549" s="3" t="str">
        <f ca="1">IFERROR(__xludf.DUMMYFUNCTION("GOOGLETRANSLATE(B549,""fr"",""en"")"),"They order new supplies.")</f>
        <v>They order new supplies.</v>
      </c>
    </row>
    <row r="550" spans="1:5" x14ac:dyDescent="0.25">
      <c r="A550" s="2" t="s">
        <v>1649</v>
      </c>
      <c r="B550" s="2" t="s">
        <v>1650</v>
      </c>
      <c r="C550" s="3" t="s">
        <v>1651</v>
      </c>
      <c r="D550" s="3" t="str">
        <f ca="1">IFERROR(__xludf.DUMMYFUNCTION("GOOGLETRANSLATE(A550,""fr"",""en"")"),"enlarge")</f>
        <v>enlarge</v>
      </c>
      <c r="E550" s="3" t="str">
        <f ca="1">IFERROR(__xludf.DUMMYFUNCTION("GOOGLETRANSLATE(B550,""fr"",""en"")"),"We are expanding our office space.")</f>
        <v>We are expanding our office space.</v>
      </c>
    </row>
    <row r="551" spans="1:5" x14ac:dyDescent="0.25">
      <c r="A551" s="2" t="s">
        <v>1652</v>
      </c>
      <c r="B551" s="2" t="s">
        <v>1653</v>
      </c>
      <c r="C551" s="3" t="s">
        <v>1654</v>
      </c>
      <c r="D551" s="3" t="str">
        <f ca="1">IFERROR(__xludf.DUMMYFUNCTION("GOOGLETRANSLATE(A551,""fr"",""en"")"),"reaffirm")</f>
        <v>reaffirm</v>
      </c>
      <c r="E551" s="3" t="str">
        <f ca="1">IFERROR(__xludf.DUMMYFUNCTION("GOOGLETRANSLATE(B551,""fr"",""en"")"),"She reaffirms her commitment to the cause.")</f>
        <v>She reaffirms her commitment to the cause.</v>
      </c>
    </row>
    <row r="552" spans="1:5" x14ac:dyDescent="0.25">
      <c r="A552" s="2" t="s">
        <v>1655</v>
      </c>
      <c r="B552" s="2" t="s">
        <v>1656</v>
      </c>
      <c r="C552" s="3" t="s">
        <v>1657</v>
      </c>
      <c r="D552" s="3" t="str">
        <f ca="1">IFERROR(__xludf.DUMMYFUNCTION("GOOGLETRANSLATE(A552,""fr"",""en"")"),"to obligate")</f>
        <v>to obligate</v>
      </c>
      <c r="E552" s="3" t="str">
        <f ca="1">IFERROR(__xludf.DUMMYFUNCTION("GOOGLETRANSLATE(B552,""fr"",""en"")"),"They force participants to follow the rules.")</f>
        <v>They force participants to follow the rules.</v>
      </c>
    </row>
    <row r="553" spans="1:5" x14ac:dyDescent="0.25">
      <c r="A553" s="2" t="s">
        <v>1658</v>
      </c>
      <c r="B553" s="2" t="s">
        <v>1659</v>
      </c>
      <c r="C553" s="3" t="s">
        <v>1660</v>
      </c>
      <c r="D553" s="3" t="str">
        <f ca="1">IFERROR(__xludf.DUMMYFUNCTION("GOOGLETRANSLATE(A553,""fr"",""en"")"),"specify")</f>
        <v>specify</v>
      </c>
      <c r="E553" s="3" t="str">
        <f ca="1">IFERROR(__xludf.DUMMYFUNCTION("GOOGLETRANSLATE(B553,""fr"",""en"")"),"We specify the selection criteria.")</f>
        <v>We specify the selection criteria.</v>
      </c>
    </row>
    <row r="554" spans="1:5" x14ac:dyDescent="0.25">
      <c r="A554" s="2" t="s">
        <v>1661</v>
      </c>
      <c r="B554" s="2" t="s">
        <v>1662</v>
      </c>
      <c r="C554" s="3" t="s">
        <v>1663</v>
      </c>
      <c r="D554" s="3" t="str">
        <f ca="1">IFERROR(__xludf.DUMMYFUNCTION("GOOGLETRANSLATE(A554,""fr"",""en"")"),"to validate")</f>
        <v>to validate</v>
      </c>
      <c r="E554" s="3" t="str">
        <f ca="1">IFERROR(__xludf.DUMMYFUNCTION("GOOGLETRANSLATE(B554,""fr"",""en"")"),"It validates the results of the experiment.")</f>
        <v>It validates the results of the experiment.</v>
      </c>
    </row>
    <row r="555" spans="1:5" x14ac:dyDescent="0.25">
      <c r="A555" s="2" t="s">
        <v>1664</v>
      </c>
      <c r="B555" s="2" t="s">
        <v>1665</v>
      </c>
      <c r="C555" s="3" t="s">
        <v>1666</v>
      </c>
      <c r="D555" s="3" t="str">
        <f ca="1">IFERROR(__xludf.DUMMYFUNCTION("GOOGLETRANSLATE(A555,""fr"",""en"")"),"relax")</f>
        <v>relax</v>
      </c>
      <c r="E555" s="3" t="str">
        <f ca="1">IFERROR(__xludf.DUMMYFUNCTION("GOOGLETRANSLATE(B555,""fr"",""en"")"),"They relax the atmosphere with soft music.")</f>
        <v>They relax the atmosphere with soft music.</v>
      </c>
    </row>
    <row r="556" spans="1:5" x14ac:dyDescent="0.25">
      <c r="A556" s="2" t="s">
        <v>1667</v>
      </c>
      <c r="B556" s="2" t="s">
        <v>1668</v>
      </c>
      <c r="C556" s="3" t="s">
        <v>1669</v>
      </c>
      <c r="D556" s="3" t="str">
        <f ca="1">IFERROR(__xludf.DUMMYFUNCTION("GOOGLETRANSLATE(A556,""fr"",""en"")"),"to provide")</f>
        <v>to provide</v>
      </c>
      <c r="E556" s="3" t="str">
        <f ca="1">IFERROR(__xludf.DUMMYFUNCTION("GOOGLETRANSLATE(B556,""fr"",""en"")"),"We provide for the needs of the community.")</f>
        <v>We provide for the needs of the community.</v>
      </c>
    </row>
    <row r="557" spans="1:5" x14ac:dyDescent="0.25">
      <c r="A557" s="2" t="s">
        <v>1670</v>
      </c>
      <c r="B557" s="2" t="s">
        <v>1671</v>
      </c>
      <c r="C557" s="3" t="s">
        <v>1672</v>
      </c>
      <c r="D557" s="3" t="str">
        <f ca="1">IFERROR(__xludf.DUMMYFUNCTION("GOOGLETRANSLATE(A557,""fr"",""en"")"),"to list")</f>
        <v>to list</v>
      </c>
      <c r="E557" s="3" t="str">
        <f ca="1">IFERROR(__xludf.DUMMYFUNCTION("GOOGLETRANSLATE(B557,""fr"",""en"")"),"It lists the available resources.")</f>
        <v>It lists the available resources.</v>
      </c>
    </row>
    <row r="558" spans="1:5" x14ac:dyDescent="0.25">
      <c r="A558" s="2" t="s">
        <v>1673</v>
      </c>
      <c r="B558" s="2" t="s">
        <v>1674</v>
      </c>
      <c r="C558" s="3" t="s">
        <v>1675</v>
      </c>
      <c r="D558" s="3" t="str">
        <f ca="1">IFERROR(__xludf.DUMMYFUNCTION("GOOGLETRANSLATE(A558,""fr"",""en"")"),"reconcile")</f>
        <v>reconcile</v>
      </c>
      <c r="E558" s="3" t="str">
        <f ca="1">IFERROR(__xludf.DUMMYFUNCTION("GOOGLETRANSLATE(B558,""fr"",""en"")"),"They balance work and family life.")</f>
        <v>They balance work and family life.</v>
      </c>
    </row>
    <row r="559" spans="1:5" x14ac:dyDescent="0.25">
      <c r="A559" s="2" t="s">
        <v>1676</v>
      </c>
      <c r="B559" s="2" t="s">
        <v>1677</v>
      </c>
      <c r="C559" s="3" t="s">
        <v>1678</v>
      </c>
      <c r="D559" s="3" t="str">
        <f ca="1">IFERROR(__xludf.DUMMYFUNCTION("GOOGLETRANSLATE(A559,""fr"",""en"")"),"bring closer")</f>
        <v>bring closer</v>
      </c>
      <c r="E559" s="3" t="str">
        <f ca="1">IFERROR(__xludf.DUMMYFUNCTION("GOOGLETRANSLATE(B559,""fr"",""en"")"),"We bring people together through technology.")</f>
        <v>We bring people together through technology.</v>
      </c>
    </row>
    <row r="560" spans="1:5" x14ac:dyDescent="0.25">
      <c r="A560" s="2" t="s">
        <v>1679</v>
      </c>
      <c r="B560" s="2" t="s">
        <v>1680</v>
      </c>
      <c r="C560" s="3" t="s">
        <v>1681</v>
      </c>
      <c r="D560" s="3" t="str">
        <f ca="1">IFERROR(__xludf.DUMMYFUNCTION("GOOGLETRANSLATE(A560,""fr"",""en"")"),"position")</f>
        <v>position</v>
      </c>
      <c r="E560" s="3" t="str">
        <f ca="1">IFERROR(__xludf.DUMMYFUNCTION("GOOGLETRANSLATE(B560,""fr"",""en"")"),"She positions the furniture in the living room.")</f>
        <v>She positions the furniture in the living room.</v>
      </c>
    </row>
    <row r="561" spans="1:5" x14ac:dyDescent="0.25">
      <c r="A561" s="2" t="s">
        <v>1682</v>
      </c>
      <c r="B561" s="2" t="s">
        <v>1683</v>
      </c>
      <c r="C561" s="3" t="s">
        <v>1684</v>
      </c>
      <c r="D561" s="3" t="str">
        <f ca="1">IFERROR(__xludf.DUMMYFUNCTION("GOOGLETRANSLATE(A561,""fr"",""en"")"),"to identify")</f>
        <v>to identify</v>
      </c>
      <c r="E561" s="3" t="str">
        <f ca="1">IFERROR(__xludf.DUMMYFUNCTION("GOOGLETRANSLATE(B561,""fr"",""en"")"),"They identify the challenges to be met.")</f>
        <v>They identify the challenges to be met.</v>
      </c>
    </row>
    <row r="562" spans="1:5" x14ac:dyDescent="0.25">
      <c r="A562" s="2" t="s">
        <v>1685</v>
      </c>
      <c r="B562" s="2" t="s">
        <v>1686</v>
      </c>
      <c r="C562" s="3" t="s">
        <v>1687</v>
      </c>
      <c r="D562" s="3" t="str">
        <f ca="1">IFERROR(__xludf.DUMMYFUNCTION("GOOGLETRANSLATE(A562,""fr"",""en"")"),"admire")</f>
        <v>admire</v>
      </c>
      <c r="E562" s="3" t="str">
        <f ca="1">IFERROR(__xludf.DUMMYFUNCTION("GOOGLETRANSLATE(B562,""fr"",""en"")"),"We admire the beauty of nature.")</f>
        <v>We admire the beauty of nature.</v>
      </c>
    </row>
    <row r="563" spans="1:5" x14ac:dyDescent="0.25">
      <c r="A563" s="2" t="s">
        <v>1688</v>
      </c>
      <c r="B563" s="2" t="s">
        <v>1689</v>
      </c>
      <c r="C563" s="3" t="s">
        <v>1690</v>
      </c>
      <c r="D563" s="3" t="str">
        <f ca="1">IFERROR(__xludf.DUMMYFUNCTION("GOOGLETRANSLATE(A563,""fr"",""en"")"),"break")</f>
        <v>break</v>
      </c>
      <c r="E563" s="3" t="str">
        <f ca="1">IFERROR(__xludf.DUMMYFUNCTION("GOOGLETRANSLATE(B563,""fr"",""en"")"),"She breaks with traditions.")</f>
        <v>She breaks with traditions.</v>
      </c>
    </row>
    <row r="564" spans="1:5" x14ac:dyDescent="0.25">
      <c r="A564" s="2" t="s">
        <v>1691</v>
      </c>
      <c r="B564" s="2" t="s">
        <v>1692</v>
      </c>
      <c r="C564" s="3" t="s">
        <v>1693</v>
      </c>
      <c r="D564" s="3" t="str">
        <f ca="1">IFERROR(__xludf.DUMMYFUNCTION("GOOGLETRANSLATE(A564,""fr"",""en"")"),"target")</f>
        <v>target</v>
      </c>
      <c r="E564" s="3" t="str">
        <f ca="1">IFERROR(__xludf.DUMMYFUNCTION("GOOGLETRANSLATE(B564,""fr"",""en"")"),"They are targeting a new market.")</f>
        <v>They are targeting a new market.</v>
      </c>
    </row>
    <row r="565" spans="1:5" x14ac:dyDescent="0.25">
      <c r="A565" s="2" t="s">
        <v>1694</v>
      </c>
      <c r="B565" s="2" t="s">
        <v>1695</v>
      </c>
      <c r="C565" s="3" t="s">
        <v>1696</v>
      </c>
      <c r="D565" s="3" t="str">
        <f ca="1">IFERROR(__xludf.DUMMYFUNCTION("GOOGLETRANSLATE(A565,""fr"",""en"")"),"invoke")</f>
        <v>invoke</v>
      </c>
      <c r="E565" s="3" t="str">
        <f ca="1">IFERROR(__xludf.DUMMYFUNCTION("GOOGLETRANSLATE(B565,""fr"",""en"")"),"We make convincing arguments.")</f>
        <v>We make convincing arguments.</v>
      </c>
    </row>
    <row r="566" spans="1:5" x14ac:dyDescent="0.25">
      <c r="A566" s="2" t="s">
        <v>1697</v>
      </c>
      <c r="B566" s="2" t="s">
        <v>1698</v>
      </c>
      <c r="C566" s="3" t="s">
        <v>1699</v>
      </c>
      <c r="D566" s="3" t="str">
        <f ca="1">IFERROR(__xludf.DUMMYFUNCTION("GOOGLETRANSLATE(A566,""fr"",""en"")"),"capture")</f>
        <v>capture</v>
      </c>
      <c r="E566" s="3" t="str">
        <f ca="1">IFERROR(__xludf.DUMMYFUNCTION("GOOGLETRANSLATE(B566,""fr"",""en"")"),"She captures unforgettable moments with her camera.")</f>
        <v>She captures unforgettable moments with her camera.</v>
      </c>
    </row>
    <row r="567" spans="1:5" x14ac:dyDescent="0.25">
      <c r="A567" s="2" t="s">
        <v>1700</v>
      </c>
      <c r="B567" s="2" t="s">
        <v>1701</v>
      </c>
      <c r="C567" s="3" t="s">
        <v>1702</v>
      </c>
      <c r="D567" s="3" t="str">
        <f ca="1">IFERROR(__xludf.DUMMYFUNCTION("GOOGLETRANSLATE(A567,""fr"",""en"")"),"to kiss")</f>
        <v>to kiss</v>
      </c>
      <c r="E567" s="3" t="str">
        <f ca="1">IFERROR(__xludf.DUMMYFUNCTION("GOOGLETRANSLATE(B567,""fr"",""en"")"),"They kiss their children goodbye before leaving.")</f>
        <v>They kiss their children goodbye before leaving.</v>
      </c>
    </row>
    <row r="568" spans="1:5" x14ac:dyDescent="0.25">
      <c r="A568" s="2" t="s">
        <v>1703</v>
      </c>
      <c r="B568" s="2" t="s">
        <v>1704</v>
      </c>
      <c r="C568" s="3" t="s">
        <v>1705</v>
      </c>
      <c r="D568" s="3" t="str">
        <f ca="1">IFERROR(__xludf.DUMMYFUNCTION("GOOGLETRANSLATE(A568,""fr"",""en"")"),"marry")</f>
        <v>marry</v>
      </c>
      <c r="E568" s="3" t="str">
        <f ca="1">IFERROR(__xludf.DUMMYFUNCTION("GOOGLETRANSLATE(B568,""fr"",""en"")"),"We marry two cultures in this dish.")</f>
        <v>We marry two cultures in this dish.</v>
      </c>
    </row>
    <row r="569" spans="1:5" x14ac:dyDescent="0.25">
      <c r="A569" s="2" t="s">
        <v>1706</v>
      </c>
      <c r="B569" s="2" t="s">
        <v>1707</v>
      </c>
      <c r="C569" s="3" t="s">
        <v>1708</v>
      </c>
      <c r="D569" s="3" t="str">
        <f ca="1">IFERROR(__xludf.DUMMYFUNCTION("GOOGLETRANSLATE(A569,""fr"",""en"")"),"to put away")</f>
        <v>to put away</v>
      </c>
      <c r="E569" s="3" t="str">
        <f ca="1">IFERROR(__xludf.DUMMYFUNCTION("GOOGLETRANSLATE(B569,""fr"",""en"")"),"She tidies her room every day.")</f>
        <v>She tidies her room every day.</v>
      </c>
    </row>
    <row r="570" spans="1:5" x14ac:dyDescent="0.25">
      <c r="A570" s="2" t="s">
        <v>1709</v>
      </c>
      <c r="B570" s="2" t="s">
        <v>1710</v>
      </c>
      <c r="C570" s="3" t="s">
        <v>1711</v>
      </c>
      <c r="D570" s="3" t="str">
        <f ca="1">IFERROR(__xludf.DUMMYFUNCTION("GOOGLETRANSLATE(A570,""fr"",""en"")"),"to materialize")</f>
        <v>to materialize</v>
      </c>
      <c r="E570" s="3" t="str">
        <f ca="1">IFERROR(__xludf.DUMMYFUNCTION("GOOGLETRANSLATE(B570,""fr"",""en"")"),"They make their dreams come true with perseverance.")</f>
        <v>They make their dreams come true with perseverance.</v>
      </c>
    </row>
    <row r="571" spans="1:5" x14ac:dyDescent="0.25">
      <c r="A571" s="2" t="s">
        <v>1712</v>
      </c>
      <c r="B571" s="2" t="s">
        <v>1713</v>
      </c>
      <c r="C571" s="3" t="s">
        <v>1714</v>
      </c>
      <c r="D571" s="3" t="str">
        <f ca="1">IFERROR(__xludf.DUMMYFUNCTION("GOOGLETRANSLATE(A571,""fr"",""en"")"),"to struggle against")</f>
        <v>to struggle against</v>
      </c>
      <c r="E571" s="3" t="str">
        <f ca="1">IFERROR(__xludf.DUMMYFUNCTION("GOOGLETRANSLATE(B571,""fr"",""en"")"),"We fight for justice.")</f>
        <v>We fight for justice.</v>
      </c>
    </row>
    <row r="572" spans="1:5" x14ac:dyDescent="0.25">
      <c r="A572" s="2" t="s">
        <v>1715</v>
      </c>
      <c r="B572" s="2" t="s">
        <v>1716</v>
      </c>
      <c r="C572" s="3" t="s">
        <v>1717</v>
      </c>
      <c r="D572" s="3" t="str">
        <f ca="1">IFERROR(__xludf.DUMMYFUNCTION("GOOGLETRANSLATE(A572,""fr"",""en"")"),"navigate")</f>
        <v>navigate</v>
      </c>
      <c r="E572" s="3" t="str">
        <f ca="1">IFERROR(__xludf.DUMMYFUNCTION("GOOGLETRANSLATE(B572,""fr"",""en"")"),"She surfs the internet every evening.")</f>
        <v>She surfs the internet every evening.</v>
      </c>
    </row>
    <row r="573" spans="1:5" x14ac:dyDescent="0.25">
      <c r="A573" s="2" t="s">
        <v>1718</v>
      </c>
      <c r="B573" s="2" t="s">
        <v>1719</v>
      </c>
      <c r="C573" s="3" t="s">
        <v>1720</v>
      </c>
      <c r="D573" s="3" t="str">
        <f ca="1">IFERROR(__xludf.DUMMYFUNCTION("GOOGLETRANSLATE(A573,""fr"",""en"")"),"hurt")</f>
        <v>hurt</v>
      </c>
      <c r="E573" s="3" t="str">
        <f ca="1">IFERROR(__xludf.DUMMYFUNCTION("GOOGLETRANSLATE(B573,""fr"",""en"")"),"They hurt their opponents with harsh words.")</f>
        <v>They hurt their opponents with harsh words.</v>
      </c>
    </row>
    <row r="574" spans="1:5" x14ac:dyDescent="0.25">
      <c r="A574" s="2" t="s">
        <v>1721</v>
      </c>
      <c r="B574" s="2" t="s">
        <v>1722</v>
      </c>
      <c r="C574" s="3" t="s">
        <v>1723</v>
      </c>
      <c r="D574" s="3" t="str">
        <f ca="1">IFERROR(__xludf.DUMMYFUNCTION("GOOGLETRANSLATE(A574,""fr"",""en"")"),"resist")</f>
        <v>resist</v>
      </c>
      <c r="E574" s="3" t="str">
        <f ca="1">IFERROR(__xludf.DUMMYFUNCTION("GOOGLETRANSLATE(B574,""fr"",""en"")"),"We resist sweet temptations.")</f>
        <v>We resist sweet temptations.</v>
      </c>
    </row>
    <row r="575" spans="1:5" x14ac:dyDescent="0.25">
      <c r="A575" s="2" t="s">
        <v>1724</v>
      </c>
      <c r="B575" s="2" t="s">
        <v>1725</v>
      </c>
      <c r="C575" s="3" t="s">
        <v>1726</v>
      </c>
      <c r="D575" s="3" t="str">
        <f ca="1">IFERROR(__xludf.DUMMYFUNCTION("GOOGLETRANSLATE(A575,""fr"",""en"")"),"enrich")</f>
        <v>enrich</v>
      </c>
      <c r="E575" s="3" t="str">
        <f ca="1">IFERROR(__xludf.DUMMYFUNCTION("GOOGLETRANSLATE(B575,""fr"",""en"")"),"She enriches her knowledge by reading.")</f>
        <v>She enriches her knowledge by reading.</v>
      </c>
    </row>
    <row r="576" spans="1:5" x14ac:dyDescent="0.25">
      <c r="A576" s="2" t="s">
        <v>1727</v>
      </c>
      <c r="B576" s="2" t="s">
        <v>1728</v>
      </c>
      <c r="C576" s="3" t="s">
        <v>1729</v>
      </c>
      <c r="D576" s="3" t="str">
        <f ca="1">IFERROR(__xludf.DUMMYFUNCTION("GOOGLETRANSLATE(A576,""fr"",""en"")"),"induce")</f>
        <v>induce</v>
      </c>
      <c r="E576" s="3" t="str">
        <f ca="1">IFERROR(__xludf.DUMMYFUNCTION("GOOGLETRANSLATE(B576,""fr"",""en"")"),"They induce positive change.")</f>
        <v>They induce positive change.</v>
      </c>
    </row>
    <row r="577" spans="1:5" x14ac:dyDescent="0.25">
      <c r="A577" s="2" t="s">
        <v>1730</v>
      </c>
      <c r="B577" s="2" t="s">
        <v>1731</v>
      </c>
      <c r="C577" s="3" t="s">
        <v>1732</v>
      </c>
      <c r="D577" s="3" t="str">
        <f ca="1">IFERROR(__xludf.DUMMYFUNCTION("GOOGLETRANSLATE(A577,""fr"",""en"")"),"lower")</f>
        <v>lower</v>
      </c>
      <c r="E577" s="3" t="str">
        <f ca="1">IFERROR(__xludf.DUMMYFUNCTION("GOOGLETRANSLATE(B577,""fr"",""en"")"),"We lower production costs.")</f>
        <v>We lower production costs.</v>
      </c>
    </row>
    <row r="578" spans="1:5" x14ac:dyDescent="0.25">
      <c r="A578" s="2" t="s">
        <v>1733</v>
      </c>
      <c r="B578" s="2" t="s">
        <v>1734</v>
      </c>
      <c r="C578" s="3" t="s">
        <v>1735</v>
      </c>
      <c r="D578" s="3" t="str">
        <f ca="1">IFERROR(__xludf.DUMMYFUNCTION("GOOGLETRANSLATE(A578,""fr"",""en"")"),"to roll")</f>
        <v>to roll</v>
      </c>
      <c r="E578" s="3" t="str">
        <f ca="1">IFERROR(__xludf.DUMMYFUNCTION("GOOGLETRANSLATE(B578,""fr"",""en"")"),"She drives carefully on the slippery road.")</f>
        <v>She drives carefully on the slippery road.</v>
      </c>
    </row>
    <row r="579" spans="1:5" x14ac:dyDescent="0.25">
      <c r="A579" s="2" t="s">
        <v>1736</v>
      </c>
      <c r="B579" s="2" t="s">
        <v>1737</v>
      </c>
      <c r="C579" s="3" t="s">
        <v>1738</v>
      </c>
      <c r="D579" s="3" t="str">
        <f ca="1">IFERROR(__xludf.DUMMYFUNCTION("GOOGLETRANSLATE(A579,""fr"",""en"")"),"relieve")</f>
        <v>relieve</v>
      </c>
      <c r="E579" s="3" t="str">
        <f ca="1">IFERROR(__xludf.DUMMYFUNCTION("GOOGLETRANSLATE(B579,""fr"",""en"")"),"They relieve pain with a natural remedy.")</f>
        <v>They relieve pain with a natural remedy.</v>
      </c>
    </row>
    <row r="580" spans="1:5" x14ac:dyDescent="0.25">
      <c r="A580" s="2" t="s">
        <v>1739</v>
      </c>
      <c r="B580" s="2" t="s">
        <v>1740</v>
      </c>
      <c r="C580" s="3" t="s">
        <v>1741</v>
      </c>
      <c r="D580" s="3" t="str">
        <f ca="1">IFERROR(__xludf.DUMMYFUNCTION("GOOGLETRANSLATE(A580,""fr"",""en"")"),"report")</f>
        <v>report</v>
      </c>
      <c r="E580" s="3" t="str">
        <f ca="1">IFERROR(__xludf.DUMMYFUNCTION("GOOGLETRANSLATE(B580,""fr"",""en"")"),"We report the results of the survey.")</f>
        <v>We report the results of the survey.</v>
      </c>
    </row>
    <row r="581" spans="1:5" x14ac:dyDescent="0.25">
      <c r="A581" s="2" t="s">
        <v>1742</v>
      </c>
      <c r="B581" s="2" t="s">
        <v>1743</v>
      </c>
      <c r="C581" s="3" t="s">
        <v>1744</v>
      </c>
      <c r="D581" s="3" t="str">
        <f ca="1">IFERROR(__xludf.DUMMYFUNCTION("GOOGLETRANSLATE(A581,""fr"",""en"")"),"supervise")</f>
        <v>supervise</v>
      </c>
      <c r="E581" s="3" t="str">
        <f ca="1">IFERROR(__xludf.DUMMYFUNCTION("GOOGLETRANSLATE(B581,""fr"",""en"")"),"She is supervising the renovation work.")</f>
        <v>She is supervising the renovation work.</v>
      </c>
    </row>
    <row r="582" spans="1:5" x14ac:dyDescent="0.25">
      <c r="A582" s="2" t="s">
        <v>1745</v>
      </c>
      <c r="B582" s="2" t="s">
        <v>1746</v>
      </c>
      <c r="C582" s="3" t="s">
        <v>1747</v>
      </c>
      <c r="D582" s="3" t="str">
        <f ca="1">IFERROR(__xludf.DUMMYFUNCTION("GOOGLETRANSLATE(A582,""fr"",""en"")"),"to feel")</f>
        <v>to feel</v>
      </c>
      <c r="E582" s="3" t="str">
        <f ca="1">IFERROR(__xludf.DUMMYFUNCTION("GOOGLETRANSLATE(B582,""fr"",""en"")"),"They feel great satisfaction after finishing.")</f>
        <v>They feel great satisfaction after finishing.</v>
      </c>
    </row>
    <row r="583" spans="1:5" x14ac:dyDescent="0.25">
      <c r="A583" s="2" t="s">
        <v>1748</v>
      </c>
      <c r="B583" s="2" t="s">
        <v>1749</v>
      </c>
      <c r="C583" s="3" t="s">
        <v>1750</v>
      </c>
      <c r="D583" s="3" t="str">
        <f ca="1">IFERROR(__xludf.DUMMYFUNCTION("GOOGLETRANSLATE(A583,""fr"",""en"")"),"to correspond")</f>
        <v>to correspond</v>
      </c>
      <c r="E583" s="3" t="str">
        <f ca="1">IFERROR(__xludf.DUMMYFUNCTION("GOOGLETRANSLATE(B583,""fr"",""en"")"),"We correspond regularly with our friends.")</f>
        <v>We correspond regularly with our friends.</v>
      </c>
    </row>
    <row r="584" spans="1:5" x14ac:dyDescent="0.25">
      <c r="A584" s="2" t="s">
        <v>1751</v>
      </c>
      <c r="B584" s="2" t="s">
        <v>1752</v>
      </c>
      <c r="C584" s="3" t="s">
        <v>1753</v>
      </c>
      <c r="D584" s="3" t="str">
        <f ca="1">IFERROR(__xludf.DUMMYFUNCTION("GOOGLETRANSLATE(A584,""fr"",""en"")"),"to wish")</f>
        <v>to wish</v>
      </c>
      <c r="E584" s="3" t="str">
        <f ca="1">IFERROR(__xludf.DUMMYFUNCTION("GOOGLETRANSLATE(B584,""fr"",""en"")"),"She wishes her brother a happy birthday.")</f>
        <v>She wishes her brother a happy birthday.</v>
      </c>
    </row>
    <row r="585" spans="1:5" x14ac:dyDescent="0.25">
      <c r="A585" s="2" t="s">
        <v>1754</v>
      </c>
      <c r="B585" s="2" t="s">
        <v>1755</v>
      </c>
      <c r="C585" s="3" t="s">
        <v>1756</v>
      </c>
      <c r="D585" s="3" t="str">
        <f ca="1">IFERROR(__xludf.DUMMYFUNCTION("GOOGLETRANSLATE(A585,""fr"",""en"")"),"to lodge")</f>
        <v>to lodge</v>
      </c>
      <c r="E585" s="3" t="str">
        <f ca="1">IFERROR(__xludf.DUMMYFUNCTION("GOOGLETRANSLATE(B585,""fr"",""en"")"),"They stay in a comfortable hotel.")</f>
        <v>They stay in a comfortable hotel.</v>
      </c>
    </row>
    <row r="586" spans="1:5" x14ac:dyDescent="0.25">
      <c r="A586" s="2" t="s">
        <v>1757</v>
      </c>
      <c r="B586" s="2" t="s">
        <v>1758</v>
      </c>
      <c r="C586" s="3" t="s">
        <v>1759</v>
      </c>
      <c r="D586" s="3" t="str">
        <f ca="1">IFERROR(__xludf.DUMMYFUNCTION("GOOGLETRANSLATE(A586,""fr"",""en"")"),"detect")</f>
        <v>detect</v>
      </c>
      <c r="E586" s="3" t="str">
        <f ca="1">IFERROR(__xludf.DUMMYFUNCTION("GOOGLETRANSLATE(B586,""fr"",""en"")"),"We detect signs of fatigue.")</f>
        <v>We detect signs of fatigue.</v>
      </c>
    </row>
    <row r="587" spans="1:5" x14ac:dyDescent="0.25">
      <c r="A587" s="2" t="s">
        <v>1760</v>
      </c>
      <c r="B587" s="2" t="s">
        <v>1761</v>
      </c>
      <c r="C587" s="3" t="s">
        <v>1762</v>
      </c>
      <c r="D587" s="3" t="str">
        <f ca="1">IFERROR(__xludf.DUMMYFUNCTION("GOOGLETRANSLATE(A587,""fr"",""en"")"),"claim")</f>
        <v>claim</v>
      </c>
      <c r="E587" s="3" t="str">
        <f ca="1">IFERROR(__xludf.DUMMYFUNCTION("GOOGLETRANSLATE(B587,""fr"",""en"")"),"She demands clear explanations.")</f>
        <v>She demands clear explanations.</v>
      </c>
    </row>
    <row r="588" spans="1:5" x14ac:dyDescent="0.25">
      <c r="A588" s="2" t="s">
        <v>1763</v>
      </c>
      <c r="B588" s="2" t="s">
        <v>1764</v>
      </c>
      <c r="C588" s="3" t="s">
        <v>1765</v>
      </c>
      <c r="D588" s="3" t="str">
        <f ca="1">IFERROR(__xludf.DUMMYFUNCTION("GOOGLETRANSLATE(A588,""fr"",""en"")"),"to be worth")</f>
        <v>to be worth</v>
      </c>
      <c r="E588" s="3" t="str">
        <f ca="1">IFERROR(__xludf.DUMMYFUNCTION("GOOGLETRANSLATE(B588,""fr"",""en"")"),"They are worth their weight in gold.")</f>
        <v>They are worth their weight in gold.</v>
      </c>
    </row>
    <row r="589" spans="1:5" x14ac:dyDescent="0.25">
      <c r="A589" s="2" t="s">
        <v>1766</v>
      </c>
      <c r="B589" s="2" t="s">
        <v>1767</v>
      </c>
      <c r="C589" s="3" t="s">
        <v>1768</v>
      </c>
      <c r="D589" s="3" t="str">
        <f ca="1">IFERROR(__xludf.DUMMYFUNCTION("GOOGLETRANSLATE(A589,""fr"",""en"")"),"regroup")</f>
        <v>regroup</v>
      </c>
      <c r="E589" s="3" t="str">
        <f ca="1">IFERROR(__xludf.DUMMYFUNCTION("GOOGLETRANSLATE(B589,""fr"",""en"")"),"We aggregate data for in-depth analysis.")</f>
        <v>We aggregate data for in-depth analysis.</v>
      </c>
    </row>
    <row r="590" spans="1:5" x14ac:dyDescent="0.25">
      <c r="A590" s="2" t="s">
        <v>1769</v>
      </c>
      <c r="B590" s="2" t="s">
        <v>1770</v>
      </c>
      <c r="C590" s="3" t="s">
        <v>1771</v>
      </c>
      <c r="D590" s="3" t="str">
        <f ca="1">IFERROR(__xludf.DUMMYFUNCTION("GOOGLETRANSLATE(A590,""fr"",""en"")"),"to hunt")</f>
        <v>to hunt</v>
      </c>
      <c r="E590" s="3" t="str">
        <f ca="1">IFERROR(__xludf.DUMMYFUNCTION("GOOGLETRANSLATE(B590,""fr"",""en"")"),"It chases away negative thoughts.")</f>
        <v>It chases away negative thoughts.</v>
      </c>
    </row>
    <row r="591" spans="1:5" x14ac:dyDescent="0.25">
      <c r="A591" s="2" t="s">
        <v>1772</v>
      </c>
      <c r="B591" s="2" t="s">
        <v>1773</v>
      </c>
      <c r="C591" s="3" t="s">
        <v>1774</v>
      </c>
      <c r="D591" s="3" t="str">
        <f ca="1">IFERROR(__xludf.DUMMYFUNCTION("GOOGLETRANSLATE(A591,""fr"",""en"")"),"interest")</f>
        <v>interest</v>
      </c>
      <c r="E591" s="3" t="str">
        <f ca="1">IFERROR(__xludf.DUMMYFUNCTION("GOOGLETRANSLATE(B591,""fr"",""en"")"),"They are interested in modern art.")</f>
        <v>They are interested in modern art.</v>
      </c>
    </row>
    <row r="592" spans="1:5" x14ac:dyDescent="0.25">
      <c r="A592" s="2" t="s">
        <v>1775</v>
      </c>
      <c r="B592" s="2" t="s">
        <v>1776</v>
      </c>
      <c r="C592" s="3" t="s">
        <v>1777</v>
      </c>
      <c r="D592" s="3" t="str">
        <f ca="1">IFERROR(__xludf.DUMMYFUNCTION("GOOGLETRANSLATE(A592,""fr"",""en"")"),"shout")</f>
        <v>shout</v>
      </c>
      <c r="E592" s="3" t="str">
        <f ca="1">IFERROR(__xludf.DUMMYFUNCTION("GOOGLETRANSLATE(B592,""fr"",""en"")"),"We shout with joy at the news.")</f>
        <v>We shout with joy at the news.</v>
      </c>
    </row>
    <row r="593" spans="1:5" x14ac:dyDescent="0.25">
      <c r="A593" s="2" t="s">
        <v>1778</v>
      </c>
      <c r="B593" s="2" t="s">
        <v>1779</v>
      </c>
      <c r="C593" s="3" t="s">
        <v>1780</v>
      </c>
      <c r="D593" s="3" t="str">
        <f ca="1">IFERROR(__xludf.DUMMYFUNCTION("GOOGLETRANSLATE(A593,""fr"",""en"")"),"allocate")</f>
        <v>allocate</v>
      </c>
      <c r="E593" s="3" t="str">
        <f ca="1">IFERROR(__xludf.DUMMYFUNCTION("GOOGLETRANSLATE(B593,""fr"",""en"")"),"She allocates funds for the project.")</f>
        <v>She allocates funds for the project.</v>
      </c>
    </row>
    <row r="594" spans="1:5" x14ac:dyDescent="0.25">
      <c r="A594" s="2" t="s">
        <v>1781</v>
      </c>
      <c r="B594" s="2" t="s">
        <v>1782</v>
      </c>
      <c r="C594" s="3" t="s">
        <v>1783</v>
      </c>
      <c r="D594" s="3" t="str">
        <f ca="1">IFERROR(__xludf.DUMMYFUNCTION("GOOGLETRANSLATE(A594,""fr"",""en"")"),"to slow down")</f>
        <v>to slow down</v>
      </c>
      <c r="E594" s="3" t="str">
        <f ca="1">IFERROR(__xludf.DUMMYFUNCTION("GOOGLETRANSLATE(B594,""fr"",""en"")"),"They slow down the pace of work to avoid stress.")</f>
        <v>They slow down the pace of work to avoid stress.</v>
      </c>
    </row>
    <row r="595" spans="1:5" x14ac:dyDescent="0.25">
      <c r="A595" s="2" t="s">
        <v>1784</v>
      </c>
      <c r="B595" s="2" t="s">
        <v>1785</v>
      </c>
      <c r="C595" s="3" t="s">
        <v>1786</v>
      </c>
      <c r="D595" s="3" t="str">
        <f ca="1">IFERROR(__xludf.DUMMYFUNCTION("GOOGLETRANSLATE(A595,""fr"",""en"")"),"relaunch")</f>
        <v>relaunch</v>
      </c>
      <c r="E595" s="3" t="str">
        <f ca="1">IFERROR(__xludf.DUMMYFUNCTION("GOOGLETRANSLATE(B595,""fr"",""en"")"),"We are relaunching the advertising campaign.")</f>
        <v>We are relaunching the advertising campaign.</v>
      </c>
    </row>
    <row r="596" spans="1:5" x14ac:dyDescent="0.25">
      <c r="A596" s="2" t="s">
        <v>1787</v>
      </c>
      <c r="B596" s="2" t="s">
        <v>1788</v>
      </c>
      <c r="C596" s="3" t="s">
        <v>1789</v>
      </c>
      <c r="D596" s="3" t="str">
        <f ca="1">IFERROR(__xludf.DUMMYFUNCTION("GOOGLETRANSLATE(A596,""fr"",""en"")"),"to grow")</f>
        <v>to grow</v>
      </c>
      <c r="E596" s="3" t="str">
        <f ca="1">IFERROR(__xludf.DUMMYFUNCTION("GOOGLETRANSLATE(B596,""fr"",""en"")"),"She grew up surrounded by love and care.")</f>
        <v>She grew up surrounded by love and care.</v>
      </c>
    </row>
    <row r="597" spans="1:5" x14ac:dyDescent="0.25">
      <c r="A597" s="2" t="s">
        <v>1790</v>
      </c>
      <c r="B597" s="2" t="s">
        <v>1791</v>
      </c>
      <c r="C597" s="3" t="s">
        <v>1792</v>
      </c>
      <c r="D597" s="3" t="str">
        <f ca="1">IFERROR(__xludf.DUMMYFUNCTION("GOOGLETRANSLATE(A597,""fr"",""en"")"),"dry")</f>
        <v>dry</v>
      </c>
      <c r="E597" s="3" t="str">
        <f ca="1">IFERROR(__xludf.DUMMYFUNCTION("GOOGLETRANSLATE(B597,""fr"",""en"")"),"They dry their clothes in the sun.")</f>
        <v>They dry their clothes in the sun.</v>
      </c>
    </row>
    <row r="598" spans="1:5" x14ac:dyDescent="0.25">
      <c r="A598" s="2" t="s">
        <v>1793</v>
      </c>
      <c r="B598" s="2" t="s">
        <v>1794</v>
      </c>
      <c r="C598" s="3" t="s">
        <v>1795</v>
      </c>
      <c r="D598" s="3" t="str">
        <f ca="1">IFERROR(__xludf.DUMMYFUNCTION("GOOGLETRANSLATE(A598,""fr"",""en"")"),"deduce")</f>
        <v>deduce</v>
      </c>
      <c r="E598" s="3" t="str">
        <f ca="1">IFERROR(__xludf.DUMMYFUNCTION("GOOGLETRANSLATE(B598,""fr"",""en"")"),"We deduct the costs from our taxes.")</f>
        <v>We deduct the costs from our taxes.</v>
      </c>
    </row>
    <row r="599" spans="1:5" x14ac:dyDescent="0.25">
      <c r="A599" s="2" t="s">
        <v>1796</v>
      </c>
      <c r="B599" s="2" t="s">
        <v>1797</v>
      </c>
      <c r="C599" s="3" t="s">
        <v>1798</v>
      </c>
      <c r="D599" s="3" t="str">
        <f ca="1">IFERROR(__xludf.DUMMYFUNCTION("GOOGLETRANSLATE(A599,""fr"",""en"")"),"predict")</f>
        <v>predict</v>
      </c>
      <c r="E599" s="3" t="str">
        <f ca="1">IFERROR(__xludf.DUMMYFUNCTION("GOOGLETRANSLATE(B599,""fr"",""en"")"),"She predicts a bright future for the company.")</f>
        <v>She predicts a bright future for the company.</v>
      </c>
    </row>
    <row r="600" spans="1:5" x14ac:dyDescent="0.25">
      <c r="A600" s="2" t="s">
        <v>1799</v>
      </c>
      <c r="B600" s="2" t="s">
        <v>1800</v>
      </c>
      <c r="C600" s="3" t="s">
        <v>1801</v>
      </c>
      <c r="D600" s="3" t="str">
        <f ca="1">IFERROR(__xludf.DUMMYFUNCTION("GOOGLETRANSLATE(A600,""fr"",""en"")"),"to satisfy")</f>
        <v>to satisfy</v>
      </c>
      <c r="E600" s="3" t="str">
        <f ca="1">IFERROR(__xludf.DUMMYFUNCTION("GOOGLETRANSLATE(B600,""fr"",""en"")"),"They satisfy customers with excellent service.")</f>
        <v>They satisfy customers with excellent service.</v>
      </c>
    </row>
    <row r="601" spans="1:5" x14ac:dyDescent="0.25">
      <c r="A601" s="2" t="s">
        <v>1802</v>
      </c>
      <c r="B601" s="2" t="s">
        <v>1803</v>
      </c>
      <c r="C601" s="3" t="s">
        <v>1804</v>
      </c>
      <c r="D601" s="3" t="str">
        <f ca="1">IFERROR(__xludf.DUMMYFUNCTION("GOOGLETRANSLATE(A601,""fr"",""en"")"),"counter")</f>
        <v>counter</v>
      </c>
      <c r="E601" s="3" t="str">
        <f ca="1">IFERROR(__xludf.DUMMYFUNCTION("GOOGLETRANSLATE(B601,""fr"",""en"")"),"He counters every argument firmly.")</f>
        <v>He counters every argument firmly.</v>
      </c>
    </row>
    <row r="602" spans="1:5" x14ac:dyDescent="0.25">
      <c r="A602" s="2" t="s">
        <v>1805</v>
      </c>
      <c r="B602" s="2" t="s">
        <v>1806</v>
      </c>
      <c r="C602" s="3" t="s">
        <v>1807</v>
      </c>
      <c r="D602" s="3" t="str">
        <f ca="1">IFERROR(__xludf.DUMMYFUNCTION("GOOGLETRANSLATE(A602,""fr"",""en"")"),"consume")</f>
        <v>consume</v>
      </c>
      <c r="E602" s="3" t="str">
        <f ca="1">IFERROR(__xludf.DUMMYFUNCTION("GOOGLETRANSLATE(B602,""fr"",""en"")"),"She consumes organic products.")</f>
        <v>She consumes organic products.</v>
      </c>
    </row>
    <row r="603" spans="1:5" x14ac:dyDescent="0.25">
      <c r="A603" s="2" t="s">
        <v>1808</v>
      </c>
      <c r="B603" s="2" t="s">
        <v>1809</v>
      </c>
      <c r="C603" s="3" t="s">
        <v>1810</v>
      </c>
      <c r="D603" s="3" t="str">
        <f ca="1">IFERROR(__xludf.DUMMYFUNCTION("GOOGLETRANSLATE(A603,""fr"",""en"")"),"cultivate")</f>
        <v>cultivate</v>
      </c>
      <c r="E603" s="3" t="str">
        <f ca="1">IFERROR(__xludf.DUMMYFUNCTION("GOOGLETRANSLATE(B603,""fr"",""en"")"),"They grow vegetables in their garden.")</f>
        <v>They grow vegetables in their garden.</v>
      </c>
    </row>
    <row r="604" spans="1:5" x14ac:dyDescent="0.25">
      <c r="A604" s="2" t="s">
        <v>1811</v>
      </c>
      <c r="B604" s="2" t="s">
        <v>1812</v>
      </c>
      <c r="C604" s="3" t="s">
        <v>1813</v>
      </c>
      <c r="D604" s="3" t="str">
        <f ca="1">IFERROR(__xludf.DUMMYFUNCTION("GOOGLETRANSLATE(A604,""fr"",""en"")"),"dispense")</f>
        <v>dispense</v>
      </c>
      <c r="E604" s="3" t="str">
        <f ca="1">IFERROR(__xludf.DUMMYFUNCTION("GOOGLETRANSLATE(B604,""fr"",""en"")"),"We provide legal advice.")</f>
        <v>We provide legal advice.</v>
      </c>
    </row>
    <row r="605" spans="1:5" x14ac:dyDescent="0.25">
      <c r="A605" s="2" t="s">
        <v>1814</v>
      </c>
      <c r="B605" s="2" t="s">
        <v>1815</v>
      </c>
      <c r="C605" s="3" t="s">
        <v>1816</v>
      </c>
      <c r="D605" s="3" t="str">
        <f ca="1">IFERROR(__xludf.DUMMYFUNCTION("GOOGLETRANSLATE(A605,""fr"",""en"")"),"favor")</f>
        <v>favor</v>
      </c>
      <c r="E605" s="3" t="str">
        <f ca="1">IFERROR(__xludf.DUMMYFUNCTION("GOOGLETRANSLATE(B605,""fr"",""en"")"),"They prioritize quality over quantity.")</f>
        <v>They prioritize quality over quantity.</v>
      </c>
    </row>
    <row r="606" spans="1:5" x14ac:dyDescent="0.25">
      <c r="A606" s="2" t="s">
        <v>1817</v>
      </c>
      <c r="B606" s="2" t="s">
        <v>1818</v>
      </c>
      <c r="C606" s="3" t="s">
        <v>1819</v>
      </c>
      <c r="D606" s="3" t="str">
        <f ca="1">IFERROR(__xludf.DUMMYFUNCTION("GOOGLETRANSLATE(A606,""fr"",""en"")"),"perceive")</f>
        <v>perceive</v>
      </c>
      <c r="E606" s="3" t="str">
        <f ca="1">IFERROR(__xludf.DUMMYFUNCTION("GOOGLETRANSLATE(B606,""fr"",""en"")"),"She receives a salary increase.")</f>
        <v>She receives a salary increase.</v>
      </c>
    </row>
    <row r="607" spans="1:5" x14ac:dyDescent="0.25">
      <c r="A607" s="2" t="s">
        <v>1820</v>
      </c>
      <c r="B607" s="2" t="s">
        <v>1821</v>
      </c>
      <c r="C607" s="3" t="s">
        <v>1822</v>
      </c>
      <c r="D607" s="3" t="str">
        <f ca="1">IFERROR(__xludf.DUMMYFUNCTION("GOOGLETRANSLATE(A607,""fr"",""en"")"),"to dismiss")</f>
        <v>to dismiss</v>
      </c>
      <c r="E607" s="3" t="str">
        <f ca="1">IFERROR(__xludf.DUMMYFUNCTION("GOOGLETRANSLATE(B607,""fr"",""en"")"),"They remove distractions during meetings.")</f>
        <v>They remove distractions during meetings.</v>
      </c>
    </row>
    <row r="608" spans="1:5" x14ac:dyDescent="0.25">
      <c r="A608" s="2" t="s">
        <v>1823</v>
      </c>
      <c r="B608" s="2" t="s">
        <v>1824</v>
      </c>
      <c r="C608" s="3" t="s">
        <v>1825</v>
      </c>
      <c r="D608" s="3" t="str">
        <f ca="1">IFERROR(__xludf.DUMMYFUNCTION("GOOGLETRANSLATE(A608,""fr"",""en"")"),"comment")</f>
        <v>comment</v>
      </c>
      <c r="E608" s="3" t="str">
        <f ca="1">IFERROR(__xludf.DUMMYFUNCTION("GOOGLETRANSLATE(B608,""fr"",""en"")"),"We comment on political news.")</f>
        <v>We comment on political news.</v>
      </c>
    </row>
    <row r="609" spans="1:5" x14ac:dyDescent="0.25">
      <c r="A609" s="2" t="s">
        <v>1826</v>
      </c>
      <c r="B609" s="2" t="s">
        <v>1827</v>
      </c>
      <c r="C609" s="3" t="s">
        <v>1828</v>
      </c>
      <c r="D609" s="3" t="str">
        <f ca="1">IFERROR(__xludf.DUMMYFUNCTION("GOOGLETRANSLATE(A609,""fr"",""en"")"),"illustrate")</f>
        <v>illustrate</v>
      </c>
      <c r="E609" s="3" t="str">
        <f ca="1">IFERROR(__xludf.DUMMYFUNCTION("GOOGLETRANSLATE(B609,""fr"",""en"")"),"She illustrates her points with concrete examples.")</f>
        <v>She illustrates her points with concrete examples.</v>
      </c>
    </row>
    <row r="610" spans="1:5" x14ac:dyDescent="0.25">
      <c r="A610" s="2" t="s">
        <v>1829</v>
      </c>
      <c r="B610" s="2" t="s">
        <v>1830</v>
      </c>
      <c r="C610" s="3" t="s">
        <v>1831</v>
      </c>
      <c r="D610" s="3" t="str">
        <f ca="1">IFERROR(__xludf.DUMMYFUNCTION("GOOGLETRANSLATE(A610,""fr"",""en"")"),"warn")</f>
        <v>warn</v>
      </c>
      <c r="E610" s="3" t="str">
        <f ca="1">IFERROR(__xludf.DUMMYFUNCTION("GOOGLETRANSLATE(B610,""fr"",""en"")"),"They warn citizens of the dangers ahead.")</f>
        <v>They warn citizens of the dangers ahead.</v>
      </c>
    </row>
    <row r="611" spans="1:5" x14ac:dyDescent="0.25">
      <c r="A611" s="2" t="s">
        <v>1832</v>
      </c>
      <c r="B611" s="2" t="s">
        <v>1833</v>
      </c>
      <c r="C611" s="3" t="s">
        <v>1834</v>
      </c>
      <c r="D611" s="3" t="str">
        <f ca="1">IFERROR(__xludf.DUMMYFUNCTION("GOOGLETRANSLATE(A611,""fr"",""en"")"),"cook")</f>
        <v>cook</v>
      </c>
      <c r="E611" s="3" t="str">
        <f ca="1">IFERROR(__xludf.DUMMYFUNCTION("GOOGLETRANSLATE(B611,""fr"",""en"")"),"We bake fresh bread every morning.")</f>
        <v>We bake fresh bread every morning.</v>
      </c>
    </row>
    <row r="612" spans="1:5" x14ac:dyDescent="0.25">
      <c r="A612" s="2" t="s">
        <v>1835</v>
      </c>
      <c r="B612" s="2" t="s">
        <v>1836</v>
      </c>
      <c r="C612" s="3" t="s">
        <v>1837</v>
      </c>
      <c r="D612" s="3" t="str">
        <f ca="1">IFERROR(__xludf.DUMMYFUNCTION("GOOGLETRANSLATE(A612,""fr"",""en"")"),"assemble")</f>
        <v>assemble</v>
      </c>
      <c r="E612" s="3" t="str">
        <f ca="1">IFERROR(__xludf.DUMMYFUNCTION("GOOGLETRANSLATE(B612,""fr"",""en"")"),"She puts the pieces of the puzzle together.")</f>
        <v>She puts the pieces of the puzzle together.</v>
      </c>
    </row>
    <row r="613" spans="1:5" x14ac:dyDescent="0.25">
      <c r="A613" s="2" t="s">
        <v>1838</v>
      </c>
      <c r="B613" s="2" t="s">
        <v>1839</v>
      </c>
      <c r="C613" s="3" t="s">
        <v>1840</v>
      </c>
      <c r="D613" s="3" t="str">
        <f ca="1">IFERROR(__xludf.DUMMYFUNCTION("GOOGLETRANSLATE(A613,""fr"",""en"")"),"arrange")</f>
        <v>arrange</v>
      </c>
      <c r="E613" s="3" t="str">
        <f ca="1">IFERROR(__xludf.DUMMYFUNCTION("GOOGLETRANSLATE(B613,""fr"",""en"")"),"They are arranging the furniture in the living room.")</f>
        <v>They are arranging the furniture in the living room.</v>
      </c>
    </row>
    <row r="614" spans="1:5" x14ac:dyDescent="0.25">
      <c r="A614" s="2" t="s">
        <v>1841</v>
      </c>
      <c r="B614" s="2" t="s">
        <v>1842</v>
      </c>
      <c r="C614" s="3" t="s">
        <v>1843</v>
      </c>
      <c r="D614" s="3" t="str">
        <f ca="1">IFERROR(__xludf.DUMMYFUNCTION("GOOGLETRANSLATE(A614,""fr"",""en"")"),"suggest")</f>
        <v>suggest</v>
      </c>
      <c r="E614" s="3" t="str">
        <f ca="1">IFERROR(__xludf.DUMMYFUNCTION("GOOGLETRANSLATE(B614,""fr"",""en"")"),"We suggest a new approach.")</f>
        <v>We suggest a new approach.</v>
      </c>
    </row>
    <row r="615" spans="1:5" x14ac:dyDescent="0.25">
      <c r="A615" s="2" t="s">
        <v>1844</v>
      </c>
      <c r="B615" s="2" t="s">
        <v>1845</v>
      </c>
      <c r="C615" s="3" t="s">
        <v>1846</v>
      </c>
      <c r="D615" s="3" t="str">
        <f ca="1">IFERROR(__xludf.DUMMYFUNCTION("GOOGLETRANSLATE(A615,""fr"",""en"")"),"copy")</f>
        <v>copy</v>
      </c>
      <c r="E615" s="3" t="str">
        <f ca="1">IFERROR(__xludf.DUMMYFUNCTION("GOOGLETRANSLATE(B615,""fr"",""en"")"),"She copies the lecture notes carefully.")</f>
        <v>She copies the lecture notes carefully.</v>
      </c>
    </row>
    <row r="616" spans="1:5" x14ac:dyDescent="0.25">
      <c r="A616" s="2" t="s">
        <v>1847</v>
      </c>
      <c r="B616" s="2" t="s">
        <v>1848</v>
      </c>
      <c r="C616" s="3" t="s">
        <v>1849</v>
      </c>
      <c r="D616" s="3" t="str">
        <f ca="1">IFERROR(__xludf.DUMMYFUNCTION("GOOGLETRANSLATE(A616,""fr"",""en"")"),"grant")</f>
        <v>grant</v>
      </c>
      <c r="E616" s="3" t="str">
        <f ca="1">IFERROR(__xludf.DUMMYFUNCTION("GOOGLETRANSLATE(B616,""fr"",""en"")"),"They award scholarships to deserving students.")</f>
        <v>They award scholarships to deserving students.</v>
      </c>
    </row>
    <row r="617" spans="1:5" x14ac:dyDescent="0.25">
      <c r="A617" s="2" t="s">
        <v>1850</v>
      </c>
      <c r="B617" s="2" t="s">
        <v>1851</v>
      </c>
      <c r="C617" s="3" t="s">
        <v>1852</v>
      </c>
      <c r="D617" s="3" t="str">
        <f ca="1">IFERROR(__xludf.DUMMYFUNCTION("GOOGLETRANSLATE(A617,""fr"",""en"")"),"worry")</f>
        <v>worry</v>
      </c>
      <c r="E617" s="3" t="str">
        <f ca="1">IFERROR(__xludf.DUMMYFUNCTION("GOOGLETRANSLATE(B617,""fr"",""en"")"),"We worry our parents with our life choices.")</f>
        <v>We worry our parents with our life choices.</v>
      </c>
    </row>
    <row r="618" spans="1:5" x14ac:dyDescent="0.25">
      <c r="A618" s="2" t="s">
        <v>1853</v>
      </c>
      <c r="B618" s="2" t="s">
        <v>1854</v>
      </c>
      <c r="C618" s="3" t="s">
        <v>1855</v>
      </c>
      <c r="D618" s="3" t="str">
        <f ca="1">IFERROR(__xludf.DUMMYFUNCTION("GOOGLETRANSLATE(A618,""fr"",""en"")"),"challenge")</f>
        <v>challenge</v>
      </c>
      <c r="E618" s="3" t="str">
        <f ca="1">IFERROR(__xludf.DUMMYFUNCTION("GOOGLETRANSLATE(B618,""fr"",""en"")"),"She is challenging the court's decision.")</f>
        <v>She is challenging the court's decision.</v>
      </c>
    </row>
    <row r="619" spans="1:5" x14ac:dyDescent="0.25">
      <c r="A619" s="2" t="s">
        <v>1856</v>
      </c>
      <c r="B619" s="2" t="s">
        <v>1857</v>
      </c>
      <c r="C619" s="3" t="s">
        <v>1858</v>
      </c>
      <c r="D619" s="3" t="str">
        <f ca="1">IFERROR(__xludf.DUMMYFUNCTION("GOOGLETRANSLATE(A619,""fr"",""en"")"),"demonstrate")</f>
        <v>demonstrate</v>
      </c>
      <c r="E619" s="3" t="str">
        <f ca="1">IFERROR(__xludf.DUMMYFUNCTION("GOOGLETRANSLATE(B619,""fr"",""en"")"),"They are peacefully demonstrating for their rights.")</f>
        <v>They are peacefully demonstrating for their rights.</v>
      </c>
    </row>
    <row r="620" spans="1:5" x14ac:dyDescent="0.25">
      <c r="A620" s="2" t="s">
        <v>1859</v>
      </c>
      <c r="B620" s="2" t="s">
        <v>1860</v>
      </c>
      <c r="C620" s="3" t="s">
        <v>1861</v>
      </c>
      <c r="D620" s="3" t="str">
        <f ca="1">IFERROR(__xludf.DUMMYFUNCTION("GOOGLETRANSLATE(A620,""fr"",""en"")"),"double")</f>
        <v>double</v>
      </c>
      <c r="E620" s="3" t="str">
        <f ca="1">IFERROR(__xludf.DUMMYFUNCTION("GOOGLETRANSLATE(B620,""fr"",""en"")"),"We are doubling our efforts to finish on time.")</f>
        <v>We are doubling our efforts to finish on time.</v>
      </c>
    </row>
    <row r="621" spans="1:5" x14ac:dyDescent="0.25">
      <c r="A621" s="2" t="s">
        <v>1862</v>
      </c>
      <c r="B621" s="2" t="s">
        <v>1863</v>
      </c>
      <c r="C621" s="3" t="s">
        <v>1864</v>
      </c>
      <c r="D621" s="3" t="str">
        <f ca="1">IFERROR(__xludf.DUMMYFUNCTION("GOOGLETRANSLATE(A621,""fr"",""en"")"),"stick")</f>
        <v>stick</v>
      </c>
      <c r="E621" s="3" t="str">
        <f ca="1">IFERROR(__xludf.DUMMYFUNCTION("GOOGLETRANSLATE(B621,""fr"",""en"")"),"She sticks the posters on the wall.")</f>
        <v>She sticks the posters on the wall.</v>
      </c>
    </row>
    <row r="622" spans="1:5" x14ac:dyDescent="0.25">
      <c r="A622" s="2" t="s">
        <v>1865</v>
      </c>
      <c r="B622" s="2" t="s">
        <v>1866</v>
      </c>
      <c r="C622" s="3" t="s">
        <v>1867</v>
      </c>
      <c r="D622" s="3" t="str">
        <f ca="1">IFERROR(__xludf.DUMMYFUNCTION("GOOGLETRANSLATE(A622,""fr"",""en"")"),"wake")</f>
        <v>wake</v>
      </c>
      <c r="E622" s="3" t="str">
        <f ca="1">IFERROR(__xludf.DUMMYFUNCTION("GOOGLETRANSLATE(B622,""fr"",""en"")"),"They wake the dog with their laughter.")</f>
        <v>They wake the dog with their laughter.</v>
      </c>
    </row>
    <row r="623" spans="1:5" x14ac:dyDescent="0.25">
      <c r="A623" s="2" t="s">
        <v>1868</v>
      </c>
      <c r="B623" s="2" t="s">
        <v>1869</v>
      </c>
      <c r="C623" s="3" t="s">
        <v>1870</v>
      </c>
      <c r="D623" s="3" t="str">
        <f ca="1">IFERROR(__xludf.DUMMYFUNCTION("GOOGLETRANSLATE(A623,""fr"",""en"")"),"deny")</f>
        <v>deny</v>
      </c>
      <c r="E623" s="3" t="str">
        <f ca="1">IFERROR(__xludf.DUMMYFUNCTION("GOOGLETRANSLATE(B623,""fr"",""en"")"),"We deny the allegations of fraud.")</f>
        <v>We deny the allegations of fraud.</v>
      </c>
    </row>
    <row r="624" spans="1:5" x14ac:dyDescent="0.25">
      <c r="A624" s="2" t="s">
        <v>1871</v>
      </c>
      <c r="B624" s="2" t="s">
        <v>1872</v>
      </c>
      <c r="C624" s="3" t="s">
        <v>1873</v>
      </c>
      <c r="D624" s="3" t="str">
        <f ca="1">IFERROR(__xludf.DUMMYFUNCTION("GOOGLETRANSLATE(A624,""fr"",""en"")"),"win")</f>
        <v>win</v>
      </c>
      <c r="E624" s="3" t="str">
        <f ca="1">IFERROR(__xludf.DUMMYFUNCTION("GOOGLETRANSLATE(B624,""fr"",""en"")"),"She won the gold medal in the competition.")</f>
        <v>She won the gold medal in the competition.</v>
      </c>
    </row>
    <row r="625" spans="1:5" x14ac:dyDescent="0.25">
      <c r="A625" s="2" t="s">
        <v>1874</v>
      </c>
      <c r="B625" s="2" t="s">
        <v>1875</v>
      </c>
      <c r="C625" s="3" t="s">
        <v>1876</v>
      </c>
      <c r="D625" s="3" t="str">
        <f ca="1">IFERROR(__xludf.DUMMYFUNCTION("GOOGLETRANSLATE(A625,""fr"",""en"")"),"multiply")</f>
        <v>multiply</v>
      </c>
      <c r="E625" s="3" t="str">
        <f ca="1">IFERROR(__xludf.DUMMYFUNCTION("GOOGLETRANSLATE(B625,""fr"",""en"")"),"They are multiplying initiatives to support the community.")</f>
        <v>They are multiplying initiatives to support the community.</v>
      </c>
    </row>
    <row r="626" spans="1:5" x14ac:dyDescent="0.25">
      <c r="A626" s="2" t="s">
        <v>1877</v>
      </c>
      <c r="B626" s="2" t="s">
        <v>1878</v>
      </c>
      <c r="C626" s="3" t="s">
        <v>1879</v>
      </c>
      <c r="D626" s="3" t="str">
        <f ca="1">IFERROR(__xludf.DUMMYFUNCTION("GOOGLETRANSLATE(A626,""fr"",""en"")"),"to spill")</f>
        <v>to spill</v>
      </c>
      <c r="E626" s="3" t="str">
        <f ca="1">IFERROR(__xludf.DUMMYFUNCTION("GOOGLETRANSLATE(B626,""fr"",""en"")"),"We are reversing the trend with a new strategy.")</f>
        <v>We are reversing the trend with a new strategy.</v>
      </c>
    </row>
    <row r="627" spans="1:5" x14ac:dyDescent="0.25">
      <c r="A627" s="2" t="s">
        <v>1880</v>
      </c>
      <c r="B627" s="2" t="s">
        <v>1881</v>
      </c>
      <c r="C627" s="3" t="s">
        <v>1882</v>
      </c>
      <c r="D627" s="3" t="str">
        <f ca="1">IFERROR(__xludf.DUMMYFUNCTION("GOOGLETRANSLATE(A627,""fr"",""en"")"),"approach")</f>
        <v>approach</v>
      </c>
      <c r="E627" s="3" t="str">
        <f ca="1">IFERROR(__xludf.DUMMYFUNCTION("GOOGLETRANSLATE(B627,""fr"",""en"")"),"She approaches the stage timidly.")</f>
        <v>She approaches the stage timidly.</v>
      </c>
    </row>
    <row r="628" spans="1:5" x14ac:dyDescent="0.25">
      <c r="A628" s="2" t="s">
        <v>1883</v>
      </c>
      <c r="B628" s="2" t="s">
        <v>1884</v>
      </c>
      <c r="C628" s="3" t="s">
        <v>1885</v>
      </c>
      <c r="D628" s="3" t="str">
        <f ca="1">IFERROR(__xludf.DUMMYFUNCTION("GOOGLETRANSLATE(A628,""fr"",""en"")"),"to watch")</f>
        <v>to watch</v>
      </c>
      <c r="E628" s="3" t="str">
        <f ca="1">IFERROR(__xludf.DUMMYFUNCTION("GOOGLETRANSLATE(B628,""fr"",""en"")"),"They watch over the children at night.")</f>
        <v>They watch over the children at night.</v>
      </c>
    </row>
    <row r="629" spans="1:5" x14ac:dyDescent="0.25">
      <c r="A629" s="2" t="s">
        <v>1886</v>
      </c>
      <c r="B629" s="2" t="s">
        <v>1887</v>
      </c>
      <c r="C629" s="3" t="s">
        <v>1888</v>
      </c>
      <c r="D629" s="3" t="str">
        <f ca="1">IFERROR(__xludf.DUMMYFUNCTION("GOOGLETRANSLATE(A629,""fr"",""en"")"),"aim")</f>
        <v>aim</v>
      </c>
      <c r="E629" s="3" t="str">
        <f ca="1">IFERROR(__xludf.DUMMYFUNCTION("GOOGLETRANSLATE(B629,""fr"",""en"")"),"We strive for excellence in everything we do.")</f>
        <v>We strive for excellence in everything we do.</v>
      </c>
    </row>
    <row r="630" spans="1:5" x14ac:dyDescent="0.25">
      <c r="A630" s="2" t="s">
        <v>1889</v>
      </c>
      <c r="B630" s="2" t="s">
        <v>1890</v>
      </c>
      <c r="C630" s="3" t="s">
        <v>1891</v>
      </c>
      <c r="D630" s="3" t="str">
        <f ca="1">IFERROR(__xludf.DUMMYFUNCTION("GOOGLETRANSLATE(A630,""fr"",""en"")"),"catch up")</f>
        <v>catch up</v>
      </c>
      <c r="E630" s="3" t="str">
        <f ca="1">IFERROR(__xludf.DUMMYFUNCTION("GOOGLETRANSLATE(B630,""fr"",""en"")"),"She is catching up with determination.")</f>
        <v>She is catching up with determination.</v>
      </c>
    </row>
    <row r="631" spans="1:5" x14ac:dyDescent="0.25">
      <c r="A631" s="2" t="s">
        <v>1892</v>
      </c>
      <c r="B631" s="2" t="s">
        <v>1893</v>
      </c>
      <c r="C631" s="3" t="s">
        <v>1894</v>
      </c>
      <c r="D631" s="3" t="str">
        <f ca="1">IFERROR(__xludf.DUMMYFUNCTION("GOOGLETRANSLATE(A631,""fr"",""en"")"),"bypass")</f>
        <v>bypass</v>
      </c>
      <c r="E631" s="3" t="str">
        <f ca="1">IFERROR(__xludf.DUMMYFUNCTION("GOOGLETRANSLATE(B631,""fr"",""en"")"),"They avoid traffic jams by taking secondary roads.")</f>
        <v>They avoid traffic jams by taking secondary roads.</v>
      </c>
    </row>
    <row r="632" spans="1:5" x14ac:dyDescent="0.25">
      <c r="A632" s="2" t="s">
        <v>1895</v>
      </c>
      <c r="B632" s="2" t="s">
        <v>1896</v>
      </c>
      <c r="C632" s="3" t="s">
        <v>1897</v>
      </c>
      <c r="D632" s="3" t="str">
        <f ca="1">IFERROR(__xludf.DUMMYFUNCTION("GOOGLETRANSLATE(A632,""fr"",""en"")"),"update")</f>
        <v>update</v>
      </c>
      <c r="E632" s="3" t="str">
        <f ca="1">IFERROR(__xludf.DUMMYFUNCTION("GOOGLETRANSLATE(B632,""fr"",""en"")"),"We regularly update our website.")</f>
        <v>We regularly update our website.</v>
      </c>
    </row>
    <row r="633" spans="1:5" x14ac:dyDescent="0.25">
      <c r="A633" s="2" t="s">
        <v>1898</v>
      </c>
      <c r="B633" s="2" t="s">
        <v>1899</v>
      </c>
      <c r="C633" s="3" t="s">
        <v>1900</v>
      </c>
      <c r="D633" s="3" t="str">
        <f ca="1">IFERROR(__xludf.DUMMYFUNCTION("GOOGLETRANSLATE(A633,""fr"",""en"")"),"support")</f>
        <v>support</v>
      </c>
      <c r="E633" s="3" t="str">
        <f ca="1">IFERROR(__xludf.DUMMYFUNCTION("GOOGLETRANSLATE(B633,""fr"",""en"")"),"She supports her argument with specific facts.")</f>
        <v>She supports her argument with specific facts.</v>
      </c>
    </row>
    <row r="634" spans="1:5" x14ac:dyDescent="0.25">
      <c r="A634" s="2" t="s">
        <v>1901</v>
      </c>
      <c r="B634" s="2" t="s">
        <v>1902</v>
      </c>
      <c r="C634" s="3" t="s">
        <v>1903</v>
      </c>
      <c r="D634" s="3" t="str">
        <f ca="1">IFERROR(__xludf.DUMMYFUNCTION("GOOGLETRANSLATE(A634,""fr"",""en"")"),"filter")</f>
        <v>filter</v>
      </c>
      <c r="E634" s="3" t="str">
        <f ca="1">IFERROR(__xludf.DUMMYFUNCTION("GOOGLETRANSLATE(B634,""fr"",""en"")"),"They filter the water to make it drinkable.")</f>
        <v>They filter the water to make it drinkable.</v>
      </c>
    </row>
    <row r="635" spans="1:5" x14ac:dyDescent="0.25">
      <c r="A635" s="2" t="s">
        <v>1904</v>
      </c>
      <c r="B635" s="2" t="s">
        <v>1905</v>
      </c>
      <c r="C635" s="3" t="s">
        <v>1906</v>
      </c>
      <c r="D635" s="3" t="str">
        <f ca="1">IFERROR(__xludf.DUMMYFUNCTION("GOOGLETRANSLATE(A635,""fr"",""en"")"),"to possess")</f>
        <v>to possess</v>
      </c>
      <c r="E635" s="3" t="str">
        <f ca="1">IFERROR(__xludf.DUMMYFUNCTION("GOOGLETRANSLATE(B635,""fr"",""en"")"),"We hold the keys to success.")</f>
        <v>We hold the keys to success.</v>
      </c>
    </row>
    <row r="636" spans="1:5" x14ac:dyDescent="0.25">
      <c r="A636" s="2" t="s">
        <v>1907</v>
      </c>
      <c r="B636" s="2" t="s">
        <v>1908</v>
      </c>
      <c r="C636" s="3" t="s">
        <v>1909</v>
      </c>
      <c r="D636" s="3" t="str">
        <f ca="1">IFERROR(__xludf.DUMMYFUNCTION("GOOGLETRANSLATE(A636,""fr"",""en"")"),"explode")</f>
        <v>explode</v>
      </c>
      <c r="E636" s="3" t="str">
        <f ca="1">IFERROR(__xludf.DUMMYFUNCTION("GOOGLETRANSLATE(B636,""fr"",""en"")"),"She bursts with joy when the results are announced.")</f>
        <v>She bursts with joy when the results are announced.</v>
      </c>
    </row>
    <row r="637" spans="1:5" x14ac:dyDescent="0.25">
      <c r="A637" s="2" t="s">
        <v>1910</v>
      </c>
      <c r="B637" s="2" t="s">
        <v>1911</v>
      </c>
      <c r="C637" s="3" t="s">
        <v>1912</v>
      </c>
      <c r="D637" s="3" t="str">
        <f ca="1">IFERROR(__xludf.DUMMYFUNCTION("GOOGLETRANSLATE(A637,""fr"",""en"")"),"deceive")</f>
        <v>deceive</v>
      </c>
      <c r="E637" s="3" t="str">
        <f ca="1">IFERROR(__xludf.DUMMYFUNCTION("GOOGLETRANSLATE(B637,""fr"",""en"")"),"They deceive their opponents with a clever feint.")</f>
        <v>They deceive their opponents with a clever feint.</v>
      </c>
    </row>
    <row r="638" spans="1:5" x14ac:dyDescent="0.25">
      <c r="A638" s="2" t="s">
        <v>1913</v>
      </c>
      <c r="B638" s="2" t="s">
        <v>1914</v>
      </c>
      <c r="C638" s="3" t="s">
        <v>1915</v>
      </c>
      <c r="D638" s="3" t="str">
        <f ca="1">IFERROR(__xludf.DUMMYFUNCTION("GOOGLETRANSLATE(A638,""fr"",""en"")"),"to succeed")</f>
        <v>to succeed</v>
      </c>
      <c r="E638" s="3" t="str">
        <f ca="1">IFERROR(__xludf.DUMMYFUNCTION("GOOGLETRANSLATE(B638,""fr"",""en"")"),"We reached a compromise after long discussions.")</f>
        <v>We reached a compromise after long discussions.</v>
      </c>
    </row>
    <row r="639" spans="1:5" x14ac:dyDescent="0.25">
      <c r="A639" s="2" t="s">
        <v>1916</v>
      </c>
      <c r="B639" s="2" t="s">
        <v>1917</v>
      </c>
      <c r="C639" s="3" t="s">
        <v>1918</v>
      </c>
      <c r="D639" s="3" t="str">
        <f ca="1">IFERROR(__xludf.DUMMYFUNCTION("GOOGLETRANSLATE(A639,""fr"",""en"")"),"personalize")</f>
        <v>personalize</v>
      </c>
      <c r="E639" s="3" t="str">
        <f ca="1">IFERROR(__xludf.DUMMYFUNCTION("GOOGLETRANSLATE(B639,""fr"",""en"")"),"She personalizes her office with family photos.")</f>
        <v>She personalizes her office with family photos.</v>
      </c>
    </row>
    <row r="640" spans="1:5" x14ac:dyDescent="0.25">
      <c r="A640" s="2" t="s">
        <v>1919</v>
      </c>
      <c r="B640" s="2" t="s">
        <v>1920</v>
      </c>
      <c r="C640" s="3" t="s">
        <v>1921</v>
      </c>
      <c r="D640" s="3" t="str">
        <f ca="1">IFERROR(__xludf.DUMMYFUNCTION("GOOGLETRANSLATE(A640,""fr"",""en"")"),"operate")</f>
        <v>operate</v>
      </c>
      <c r="E640" s="3" t="str">
        <f ca="1">IFERROR(__xludf.DUMMYFUNCTION("GOOGLETRANSLATE(B640,""fr"",""en"")"),"They activate the alarm in case of fire.")</f>
        <v>They activate the alarm in case of fire.</v>
      </c>
    </row>
    <row r="641" spans="1:5" x14ac:dyDescent="0.25">
      <c r="A641" s="2" t="s">
        <v>1922</v>
      </c>
      <c r="B641" s="2" t="s">
        <v>1923</v>
      </c>
      <c r="C641" s="3" t="s">
        <v>1924</v>
      </c>
      <c r="D641" s="3" t="str">
        <f ca="1">IFERROR(__xludf.DUMMYFUNCTION("GOOGLETRANSLATE(A641,""fr"",""en"")"),"turn off")</f>
        <v>turn off</v>
      </c>
      <c r="E641" s="3" t="str">
        <f ca="1">IFERROR(__xludf.DUMMYFUNCTION("GOOGLETRANSLATE(B641,""fr"",""en"")"),"We turn off the lights before leaving the room.")</f>
        <v>We turn off the lights before leaving the room.</v>
      </c>
    </row>
    <row r="642" spans="1:5" x14ac:dyDescent="0.25">
      <c r="A642" s="2" t="s">
        <v>1925</v>
      </c>
      <c r="B642" s="2" t="s">
        <v>1926</v>
      </c>
      <c r="C642" s="3" t="s">
        <v>1927</v>
      </c>
      <c r="D642" s="3" t="str">
        <f ca="1">IFERROR(__xludf.DUMMYFUNCTION("GOOGLETRANSLATE(A642,""fr"",""en"")"),"threaten")</f>
        <v>threaten</v>
      </c>
      <c r="E642" s="3" t="str">
        <f ca="1">IFERROR(__xludf.DUMMYFUNCTION("GOOGLETRANSLATE(B642,""fr"",""en"")"),"She threatens to leave the country.")</f>
        <v>She threatens to leave the country.</v>
      </c>
    </row>
    <row r="643" spans="1:5" x14ac:dyDescent="0.25">
      <c r="A643" s="2" t="s">
        <v>1928</v>
      </c>
      <c r="B643" s="2" t="s">
        <v>1929</v>
      </c>
      <c r="C643" s="3" t="s">
        <v>1930</v>
      </c>
      <c r="D643" s="3" t="str">
        <f ca="1">IFERROR(__xludf.DUMMYFUNCTION("GOOGLETRANSLATE(A643,""fr"",""en"")"),"turn")</f>
        <v>turn</v>
      </c>
      <c r="E643" s="3" t="str">
        <f ca="1">IFERROR(__xludf.DUMMYFUNCTION("GOOGLETRANSLATE(B643,""fr"",""en"")"),"They turn right at the next intersection.")</f>
        <v>They turn right at the next intersection.</v>
      </c>
    </row>
    <row r="644" spans="1:5" x14ac:dyDescent="0.25">
      <c r="A644" s="2" t="s">
        <v>1931</v>
      </c>
      <c r="B644" s="2" t="s">
        <v>1932</v>
      </c>
      <c r="C644" s="3" t="s">
        <v>1933</v>
      </c>
      <c r="D644" s="3" t="str">
        <f ca="1">IFERROR(__xludf.DUMMYFUNCTION("GOOGLETRANSLATE(A644,""fr"",""en"")"),"disable")</f>
        <v>disable</v>
      </c>
      <c r="E644" s="3" t="str">
        <f ca="1">IFERROR(__xludf.DUMMYFUNCTION("GOOGLETRANSLATE(B644,""fr"",""en"")"),"We turn off notifications to stay focused.")</f>
        <v>We turn off notifications to stay focused.</v>
      </c>
    </row>
    <row r="645" spans="1:5" x14ac:dyDescent="0.25">
      <c r="A645" s="2" t="s">
        <v>1934</v>
      </c>
      <c r="B645" s="2" t="s">
        <v>1935</v>
      </c>
      <c r="C645" s="3" t="s">
        <v>1936</v>
      </c>
      <c r="D645" s="3" t="str">
        <f ca="1">IFERROR(__xludf.DUMMYFUNCTION("GOOGLETRANSLATE(A645,""fr"",""en"")"),"balance")</f>
        <v>balance</v>
      </c>
      <c r="E645" s="3" t="str">
        <f ca="1">IFERROR(__xludf.DUMMYFUNCTION("GOOGLETRANSLATE(B645,""fr"",""en"")"),"She balances her schedule between work and leisure.")</f>
        <v>She balances her schedule between work and leisure.</v>
      </c>
    </row>
    <row r="646" spans="1:5" x14ac:dyDescent="0.25">
      <c r="A646" s="2" t="s">
        <v>1937</v>
      </c>
      <c r="B646" s="2" t="s">
        <v>1938</v>
      </c>
      <c r="C646" s="3" t="s">
        <v>1939</v>
      </c>
      <c r="D646" s="3" t="str">
        <f ca="1">IFERROR(__xludf.DUMMYFUNCTION("GOOGLETRANSLATE(A646,""fr"",""en"")"),"elect")</f>
        <v>elect</v>
      </c>
      <c r="E646" s="3" t="str">
        <f ca="1">IFERROR(__xludf.DUMMYFUNCTION("GOOGLETRANSLATE(B646,""fr"",""en"")"),"They elect their president every year.")</f>
        <v>They elect their president every year.</v>
      </c>
    </row>
    <row r="647" spans="1:5" x14ac:dyDescent="0.25">
      <c r="A647" s="2" t="s">
        <v>1940</v>
      </c>
      <c r="B647" s="2" t="s">
        <v>1941</v>
      </c>
      <c r="C647" s="3" t="s">
        <v>1942</v>
      </c>
      <c r="D647" s="3" t="str">
        <f ca="1">IFERROR(__xludf.DUMMYFUNCTION("GOOGLETRANSLATE(A647,""fr"",""en"")"),"sin")</f>
        <v>sin</v>
      </c>
      <c r="E647" s="3" t="str">
        <f ca="1">IFERROR(__xludf.DUMMYFUNCTION("GOOGLETRANSLATE(B647,""fr"",""en"")"),"We are fishing in a peaceful lake.")</f>
        <v>We are fishing in a peaceful lake.</v>
      </c>
    </row>
    <row r="648" spans="1:5" x14ac:dyDescent="0.25">
      <c r="A648" s="2" t="s">
        <v>1943</v>
      </c>
      <c r="B648" s="2" t="s">
        <v>1944</v>
      </c>
      <c r="C648" s="3" t="s">
        <v>1945</v>
      </c>
      <c r="D648" s="3" t="str">
        <f ca="1">IFERROR(__xludf.DUMMYFUNCTION("GOOGLETRANSLATE(A648,""fr"",""en"")"),"disclose")</f>
        <v>disclose</v>
      </c>
      <c r="E648" s="3" t="str">
        <f ca="1">IFERROR(__xludf.DUMMYFUNCTION("GOOGLETRANSLATE(B648,""fr"",""en"")"),"She discloses confidential information.")</f>
        <v>She discloses confidential information.</v>
      </c>
    </row>
    <row r="649" spans="1:5" x14ac:dyDescent="0.25">
      <c r="A649" s="2" t="s">
        <v>1946</v>
      </c>
      <c r="B649" s="2" t="s">
        <v>1947</v>
      </c>
      <c r="C649" s="3" t="s">
        <v>1948</v>
      </c>
      <c r="D649" s="3" t="str">
        <f ca="1">IFERROR(__xludf.DUMMYFUNCTION("GOOGLETRANSLATE(A649,""fr"",""en"")"),"to aggravate")</f>
        <v>to aggravate</v>
      </c>
      <c r="E649" s="3" t="str">
        <f ca="1">IFERROR(__xludf.DUMMYFUNCTION("GOOGLETRANSLATE(B649,""fr"",""en"")"),"They are making the situation worse with their comments.")</f>
        <v>They are making the situation worse with their comments.</v>
      </c>
    </row>
    <row r="650" spans="1:5" x14ac:dyDescent="0.25">
      <c r="A650" s="2" t="s">
        <v>1949</v>
      </c>
      <c r="B650" s="2" t="s">
        <v>1950</v>
      </c>
      <c r="C650" s="3" t="s">
        <v>1951</v>
      </c>
      <c r="D650" s="3" t="str">
        <f ca="1">IFERROR(__xludf.DUMMYFUNCTION("GOOGLETRANSLATE(A650,""fr"",""en"")"),"interact")</f>
        <v>interact</v>
      </c>
      <c r="E650" s="3" t="str">
        <f ca="1">IFERROR(__xludf.DUMMYFUNCTION("GOOGLETRANSLATE(B650,""fr"",""en"")"),"We interact with our colleagues every day.")</f>
        <v>We interact with our colleagues every day.</v>
      </c>
    </row>
    <row r="651" spans="1:5" x14ac:dyDescent="0.25">
      <c r="A651" s="2" t="s">
        <v>1952</v>
      </c>
      <c r="B651" s="2" t="s">
        <v>1953</v>
      </c>
      <c r="C651" s="3" t="s">
        <v>1954</v>
      </c>
      <c r="D651" s="3" t="str">
        <f ca="1">IFERROR(__xludf.DUMMYFUNCTION("GOOGLETRANSLATE(A651,""fr"",""en"")"),"calm")</f>
        <v>calm</v>
      </c>
      <c r="E651" s="3" t="str">
        <f ca="1">IFERROR(__xludf.DUMMYFUNCTION("GOOGLETRANSLATE(B651,""fr"",""en"")"),"She calms her nerves before the exam.")</f>
        <v>She calms her nerves before the exam.</v>
      </c>
    </row>
    <row r="652" spans="1:5" x14ac:dyDescent="0.25">
      <c r="A652" s="2" t="s">
        <v>1955</v>
      </c>
      <c r="B652" s="2" t="s">
        <v>1956</v>
      </c>
      <c r="C652" s="3" t="s">
        <v>1957</v>
      </c>
      <c r="D652" s="3" t="str">
        <f ca="1">IFERROR(__xludf.DUMMYFUNCTION("GOOGLETRANSLATE(A652,""fr"",""en"")"),"brake")</f>
        <v>brake</v>
      </c>
      <c r="E652" s="3" t="str">
        <f ca="1">IFERROR(__xludf.DUMMYFUNCTION("GOOGLETRANSLATE(B652,""fr"",""en"")"),"They brake sharply to avoid the accident.")</f>
        <v>They brake sharply to avoid the accident.</v>
      </c>
    </row>
    <row r="653" spans="1:5" x14ac:dyDescent="0.25">
      <c r="A653" s="2" t="s">
        <v>1958</v>
      </c>
      <c r="B653" s="2" t="s">
        <v>1959</v>
      </c>
      <c r="C653" s="3" t="s">
        <v>1960</v>
      </c>
      <c r="D653" s="3" t="str">
        <f ca="1">IFERROR(__xludf.DUMMYFUNCTION("GOOGLETRANSLATE(A653,""fr"",""en"")"),"to disturb")</f>
        <v>to disturb</v>
      </c>
      <c r="E653" s="3" t="str">
        <f ca="1">IFERROR(__xludf.DUMMYFUNCTION("GOOGLETRANSLATE(B653,""fr"",""en"")"),"We disturb our neighbors with our loud music.")</f>
        <v>We disturb our neighbors with our loud music.</v>
      </c>
    </row>
    <row r="654" spans="1:5" x14ac:dyDescent="0.25">
      <c r="A654" s="2" t="s">
        <v>1961</v>
      </c>
      <c r="B654" s="2" t="s">
        <v>1962</v>
      </c>
      <c r="C654" s="3" t="s">
        <v>1963</v>
      </c>
      <c r="D654" s="3" t="str">
        <f ca="1">IFERROR(__xludf.DUMMYFUNCTION("GOOGLETRANSLATE(A654,""fr"",""en"")"),"abolish")</f>
        <v>abolish</v>
      </c>
      <c r="E654" s="3" t="str">
        <f ca="1">IFERROR(__xludf.DUMMYFUNCTION("GOOGLETRANSLATE(B654,""fr"",""en"")"),"It abolishes obsolete rules.")</f>
        <v>It abolishes obsolete rules.</v>
      </c>
    </row>
    <row r="655" spans="1:5" x14ac:dyDescent="0.25">
      <c r="A655" s="2" t="s">
        <v>1964</v>
      </c>
      <c r="B655" s="2" t="s">
        <v>1965</v>
      </c>
      <c r="C655" s="3" t="s">
        <v>1966</v>
      </c>
      <c r="D655" s="3" t="str">
        <f ca="1">IFERROR(__xludf.DUMMYFUNCTION("GOOGLETRANSLATE(A655,""fr"",""en"")"),"hang out")</f>
        <v>hang out</v>
      </c>
      <c r="E655" s="3" t="str">
        <f ca="1">IFERROR(__xludf.DUMMYFUNCTION("GOOGLETRANSLATE(B655,""fr"",""en"")"),"They drag their feet to delay the departure.")</f>
        <v>They drag their feet to delay the departure.</v>
      </c>
    </row>
    <row r="656" spans="1:5" x14ac:dyDescent="0.25">
      <c r="A656" s="2" t="s">
        <v>1967</v>
      </c>
      <c r="B656" s="2" t="s">
        <v>1968</v>
      </c>
      <c r="C656" s="3" t="s">
        <v>1969</v>
      </c>
      <c r="D656" s="3" t="str">
        <f ca="1">IFERROR(__xludf.DUMMYFUNCTION("GOOGLETRANSLATE(A656,""fr"",""en"")"),"to collect")</f>
        <v>to collect</v>
      </c>
      <c r="E656" s="3" t="str">
        <f ca="1">IFERROR(__xludf.DUMMYFUNCTION("GOOGLETRANSLATE(B656,""fr"",""en"")"),"We take samples for analysis.")</f>
        <v>We take samples for analysis.</v>
      </c>
    </row>
    <row r="657" spans="1:5" x14ac:dyDescent="0.25">
      <c r="A657" s="2" t="s">
        <v>1970</v>
      </c>
      <c r="B657" s="2" t="s">
        <v>1971</v>
      </c>
      <c r="C657" s="3" t="s">
        <v>1972</v>
      </c>
      <c r="D657" s="3" t="str">
        <f ca="1">IFERROR(__xludf.DUMMYFUNCTION("GOOGLETRANSLATE(A657,""fr"",""en"")"),"harm")</f>
        <v>harm</v>
      </c>
      <c r="E657" s="3" t="str">
        <f ca="1">IFERROR(__xludf.DUMMYFUNCTION("GOOGLETRANSLATE(B657,""fr"",""en"")"),"She is damaging her reputation with this behavior.")</f>
        <v>She is damaging her reputation with this behavior.</v>
      </c>
    </row>
    <row r="658" spans="1:5" x14ac:dyDescent="0.25">
      <c r="A658" s="2" t="s">
        <v>1973</v>
      </c>
      <c r="B658" s="2" t="s">
        <v>1974</v>
      </c>
      <c r="C658" s="3" t="s">
        <v>1975</v>
      </c>
      <c r="D658" s="3" t="str">
        <f ca="1">IFERROR(__xludf.DUMMYFUNCTION("GOOGLETRANSLATE(A658,""fr"",""en"")"),"to sell")</f>
        <v>to sell</v>
      </c>
      <c r="E658" s="3" t="str">
        <f ca="1">IFERROR(__xludf.DUMMYFUNCTION("GOOGLETRANSLATE(B658,""fr"",""en"")"),"They give in to their demands to maintain peace.")</f>
        <v>They give in to their demands to maintain peace.</v>
      </c>
    </row>
    <row r="659" spans="1:5" x14ac:dyDescent="0.25">
      <c r="A659" s="2" t="s">
        <v>1976</v>
      </c>
      <c r="B659" s="2" t="s">
        <v>1977</v>
      </c>
      <c r="C659" s="3" t="s">
        <v>1978</v>
      </c>
      <c r="D659" s="3" t="str">
        <f ca="1">IFERROR(__xludf.DUMMYFUNCTION("GOOGLETRANSLATE(A659,""fr"",""en"")"),"save")</f>
        <v>save</v>
      </c>
      <c r="E659" s="3" t="str">
        <f ca="1">IFERROR(__xludf.DUMMYFUNCTION("GOOGLETRANSLATE(B659,""fr"",""en"")"),"We save money for vacations.")</f>
        <v>We save money for vacations.</v>
      </c>
    </row>
    <row r="660" spans="1:5" x14ac:dyDescent="0.25">
      <c r="A660" s="2" t="s">
        <v>1979</v>
      </c>
      <c r="B660" s="2" t="s">
        <v>1980</v>
      </c>
      <c r="C660" s="3" t="s">
        <v>1981</v>
      </c>
      <c r="D660" s="3" t="str">
        <f ca="1">IFERROR(__xludf.DUMMYFUNCTION("GOOGLETRANSLATE(A660,""fr"",""en"")"),"draw")</f>
        <v>draw</v>
      </c>
      <c r="E660" s="3" t="str">
        <f ca="1">IFERROR(__xludf.DUMMYFUNCTION("GOOGLETRANSLATE(B660,""fr"",""en"")"),"She draws a magnificent landscape.")</f>
        <v>She draws a magnificent landscape.</v>
      </c>
    </row>
    <row r="661" spans="1:5" x14ac:dyDescent="0.25">
      <c r="A661" s="2" t="s">
        <v>1982</v>
      </c>
      <c r="B661" s="2" t="s">
        <v>1983</v>
      </c>
      <c r="C661" s="3" t="s">
        <v>1984</v>
      </c>
      <c r="D661" s="3" t="str">
        <f ca="1">IFERROR(__xludf.DUMMYFUNCTION("GOOGLETRANSLATE(A661,""fr"",""en"")"),"cook")</f>
        <v>cook</v>
      </c>
      <c r="E661" s="3" t="str">
        <f ca="1">IFERROR(__xludf.DUMMYFUNCTION("GOOGLETRANSLATE(B661,""fr"",""en"")"),"They cook a special meal together.")</f>
        <v>They cook a special meal together.</v>
      </c>
    </row>
    <row r="662" spans="1:5" x14ac:dyDescent="0.25">
      <c r="A662" s="2" t="s">
        <v>1985</v>
      </c>
      <c r="B662" s="2" t="s">
        <v>1986</v>
      </c>
      <c r="C662" s="3" t="s">
        <v>1987</v>
      </c>
      <c r="D662" s="3" t="str">
        <f ca="1">IFERROR(__xludf.DUMMYFUNCTION("GOOGLETRANSLATE(A662,""fr"",""en"")"),"oppose")</f>
        <v>oppose</v>
      </c>
      <c r="E662" s="3" t="str">
        <f ca="1">IFERROR(__xludf.DUMMYFUNCTION("GOOGLETRANSLATE(B662,""fr"",""en"")"),"We contrast our opinions on this subject.")</f>
        <v>We contrast our opinions on this subject.</v>
      </c>
    </row>
    <row r="663" spans="1:5" x14ac:dyDescent="0.25">
      <c r="A663" s="2" t="s">
        <v>1988</v>
      </c>
      <c r="B663" s="2" t="s">
        <v>1989</v>
      </c>
      <c r="C663" s="3" t="s">
        <v>1990</v>
      </c>
      <c r="D663" s="3" t="str">
        <f ca="1">IFERROR(__xludf.DUMMYFUNCTION("GOOGLETRANSLATE(A663,""fr"",""en"")"),"diagnose")</f>
        <v>diagnose</v>
      </c>
      <c r="E663" s="3" t="str">
        <f ca="1">IFERROR(__xludf.DUMMYFUNCTION("GOOGLETRANSLATE(B663,""fr"",""en"")"),"She quickly diagnoses the problem.")</f>
        <v>She quickly diagnoses the problem.</v>
      </c>
    </row>
    <row r="664" spans="1:5" x14ac:dyDescent="0.25">
      <c r="A664" s="2" t="s">
        <v>1991</v>
      </c>
      <c r="B664" s="2" t="s">
        <v>1992</v>
      </c>
      <c r="C664" s="3" t="s">
        <v>1993</v>
      </c>
      <c r="D664" s="3" t="str">
        <f ca="1">IFERROR(__xludf.DUMMYFUNCTION("GOOGLETRANSLATE(A664,""fr"",""en"")"),"to paint")</f>
        <v>to paint</v>
      </c>
      <c r="E664" s="3" t="str">
        <f ca="1">IFERROR(__xludf.DUMMYFUNCTION("GOOGLETRANSLATE(B664,""fr"",""en"")"),"They paint the walls of the house white.")</f>
        <v>They paint the walls of the house white.</v>
      </c>
    </row>
    <row r="665" spans="1:5" x14ac:dyDescent="0.25">
      <c r="A665" s="2" t="s">
        <v>1994</v>
      </c>
      <c r="B665" s="2" t="s">
        <v>1995</v>
      </c>
      <c r="C665" s="3" t="s">
        <v>1996</v>
      </c>
      <c r="D665" s="3" t="str">
        <f ca="1">IFERROR(__xludf.DUMMYFUNCTION("GOOGLETRANSLATE(A665,""fr"",""en"")"),"forgive")</f>
        <v>forgive</v>
      </c>
      <c r="E665" s="3" t="str">
        <f ca="1">IFERROR(__xludf.DUMMYFUNCTION("GOOGLETRANSLATE(B665,""fr"",""en"")"),"We forgive our friends for their mistakes.")</f>
        <v>We forgive our friends for their mistakes.</v>
      </c>
    </row>
    <row r="666" spans="1:5" x14ac:dyDescent="0.25">
      <c r="A666" s="2" t="s">
        <v>1997</v>
      </c>
      <c r="B666" s="2" t="s">
        <v>1998</v>
      </c>
      <c r="C666" s="3" t="s">
        <v>1999</v>
      </c>
      <c r="D666" s="3" t="str">
        <f ca="1">IFERROR(__xludf.DUMMYFUNCTION("GOOGLETRANSLATE(A666,""fr"",""en"")"),"dress")</f>
        <v>dress</v>
      </c>
      <c r="E666" s="3" t="str">
        <f ca="1">IFERROR(__xludf.DUMMYFUNCTION("GOOGLETRANSLATE(B666,""fr"",""en"")"),"She sets the table for dinner.")</f>
        <v>She sets the table for dinner.</v>
      </c>
    </row>
    <row r="667" spans="1:5" x14ac:dyDescent="0.25">
      <c r="A667" s="2" t="s">
        <v>2000</v>
      </c>
      <c r="B667" s="2" t="s">
        <v>2001</v>
      </c>
      <c r="C667" s="3" t="s">
        <v>2002</v>
      </c>
      <c r="D667" s="3" t="str">
        <f ca="1">IFERROR(__xludf.DUMMYFUNCTION("GOOGLETRANSLATE(A667,""fr"",""en"")"),"quantify")</f>
        <v>quantify</v>
      </c>
      <c r="E667" s="3" t="str">
        <f ca="1">IFERROR(__xludf.DUMMYFUNCTION("GOOGLETRANSLATE(B667,""fr"",""en"")"),"They quantify the environmental impact of the project.")</f>
        <v>They quantify the environmental impact of the project.</v>
      </c>
    </row>
    <row r="668" spans="1:5" x14ac:dyDescent="0.25">
      <c r="A668" s="2" t="s">
        <v>2003</v>
      </c>
      <c r="B668" s="2" t="s">
        <v>2004</v>
      </c>
      <c r="C668" s="3" t="s">
        <v>2005</v>
      </c>
      <c r="D668" s="3" t="str">
        <f ca="1">IFERROR(__xludf.DUMMYFUNCTION("GOOGLETRANSLATE(A668,""fr"",""en"")"),"recover")</f>
        <v>recover</v>
      </c>
      <c r="E668" s="3" t="str">
        <f ca="1">IFERROR(__xludf.DUMMYFUNCTION("GOOGLETRANSLATE(B668,""fr"",""en"")"),"We recover our investment within one year.")</f>
        <v>We recover our investment within one year.</v>
      </c>
    </row>
    <row r="669" spans="1:5" x14ac:dyDescent="0.25">
      <c r="A669" s="2" t="s">
        <v>2006</v>
      </c>
      <c r="B669" s="2" t="s">
        <v>2007</v>
      </c>
      <c r="C669" s="3" t="s">
        <v>2008</v>
      </c>
      <c r="D669" s="3" t="str">
        <f ca="1">IFERROR(__xludf.DUMMYFUNCTION("GOOGLETRANSLATE(A669,""fr"",""en"")"),"occur")</f>
        <v>occur</v>
      </c>
      <c r="E669" s="3" t="str">
        <f ca="1">IFERROR(__xludf.DUMMYFUNCTION("GOOGLETRANSLATE(B669,""fr"",""en"")"),"A sudden storm comes.")</f>
        <v>A sudden storm comes.</v>
      </c>
    </row>
    <row r="670" spans="1:5" x14ac:dyDescent="0.25">
      <c r="A670" s="2" t="s">
        <v>2009</v>
      </c>
      <c r="B670" s="2" t="s">
        <v>2010</v>
      </c>
      <c r="C670" s="3" t="s">
        <v>2011</v>
      </c>
      <c r="D670" s="3" t="str">
        <f ca="1">IFERROR(__xludf.DUMMYFUNCTION("GOOGLETRANSLATE(A670,""fr"",""en"")"),"swim")</f>
        <v>swim</v>
      </c>
      <c r="E670" s="3" t="str">
        <f ca="1">IFERROR(__xludf.DUMMYFUNCTION("GOOGLETRANSLATE(B670,""fr"",""en"")"),"They swim in the pool every day.")</f>
        <v>They swim in the pool every day.</v>
      </c>
    </row>
    <row r="671" spans="1:5" x14ac:dyDescent="0.25">
      <c r="A671" s="2" t="s">
        <v>2012</v>
      </c>
      <c r="B671" s="2" t="s">
        <v>2013</v>
      </c>
      <c r="C671" s="3" t="s">
        <v>2014</v>
      </c>
      <c r="D671" s="3" t="str">
        <f ca="1">IFERROR(__xludf.DUMMYFUNCTION("GOOGLETRANSLATE(A671,""fr"",""en"")"),"qualify")</f>
        <v>qualify</v>
      </c>
      <c r="E671" s="3" t="str">
        <f ca="1">IFERROR(__xludf.DUMMYFUNCTION("GOOGLETRANSLATE(B671,""fr"",""en"")"),"We qualify candidates for the position.")</f>
        <v>We qualify candidates for the position.</v>
      </c>
    </row>
    <row r="672" spans="1:5" x14ac:dyDescent="0.25">
      <c r="A672" s="2" t="s">
        <v>2015</v>
      </c>
      <c r="B672" s="2" t="s">
        <v>2016</v>
      </c>
      <c r="C672" s="3" t="s">
        <v>2017</v>
      </c>
      <c r="D672" s="3" t="str">
        <f ca="1">IFERROR(__xludf.DUMMYFUNCTION("GOOGLETRANSLATE(A672,""fr"",""en"")"),"crush")</f>
        <v>crush</v>
      </c>
      <c r="E672" s="3" t="str">
        <f ca="1">IFERROR(__xludf.DUMMYFUNCTION("GOOGLETRANSLATE(B672,""fr"",""en"")"),"She crushes the cookies to make a crust.")</f>
        <v>She crushes the cookies to make a crust.</v>
      </c>
    </row>
    <row r="673" spans="1:5" x14ac:dyDescent="0.25">
      <c r="A673" s="2" t="s">
        <v>2018</v>
      </c>
      <c r="B673" s="2" t="s">
        <v>2019</v>
      </c>
      <c r="C673" s="3" t="s">
        <v>2020</v>
      </c>
      <c r="D673" s="3" t="str">
        <f ca="1">IFERROR(__xludf.DUMMYFUNCTION("GOOGLETRANSLATE(A673,""fr"",""en"")"),"sacrifice")</f>
        <v>sacrifice</v>
      </c>
      <c r="E673" s="3" t="str">
        <f ca="1">IFERROR(__xludf.DUMMYFUNCTION("GOOGLETRANSLATE(B673,""fr"",""en"")"),"They sacrifice a lot to succeed.")</f>
        <v>They sacrifice a lot to succeed.</v>
      </c>
    </row>
    <row r="674" spans="1:5" x14ac:dyDescent="0.25">
      <c r="A674" s="2" t="s">
        <v>2021</v>
      </c>
      <c r="B674" s="2" t="s">
        <v>2022</v>
      </c>
      <c r="C674" s="3" t="s">
        <v>2023</v>
      </c>
      <c r="D674" s="3" t="str">
        <f ca="1">IFERROR(__xludf.DUMMYFUNCTION("GOOGLETRANSLATE(A674,""fr"",""en"")"),"to summarize")</f>
        <v>to summarize</v>
      </c>
      <c r="E674" s="3" t="str">
        <f ca="1">IFERROR(__xludf.DUMMYFUNCTION("GOOGLETRANSLATE(B674,""fr"",""en"")"),"We summarize the conclusions of the meeting.")</f>
        <v>We summarize the conclusions of the meeting.</v>
      </c>
    </row>
    <row r="675" spans="1:5" x14ac:dyDescent="0.25">
      <c r="A675" s="2" t="s">
        <v>2024</v>
      </c>
      <c r="B675" s="2" t="s">
        <v>2025</v>
      </c>
      <c r="C675" s="3" t="s">
        <v>2026</v>
      </c>
      <c r="D675" s="3" t="str">
        <f ca="1">IFERROR(__xludf.DUMMYFUNCTION("GOOGLETRANSLATE(A675,""fr"",""en"")"),"let go")</f>
        <v>let go</v>
      </c>
      <c r="E675" s="3" t="str">
        <f ca="1">IFERROR(__xludf.DUMMYFUNCTION("GOOGLETRANSLATE(B675,""fr"",""en"")"),"She lets go and lets go of her worries.")</f>
        <v>She lets go and lets go of her worries.</v>
      </c>
    </row>
    <row r="676" spans="1:5" x14ac:dyDescent="0.25">
      <c r="A676" s="2" t="s">
        <v>2027</v>
      </c>
      <c r="B676" s="2" t="s">
        <v>2028</v>
      </c>
      <c r="C676" s="3" t="s">
        <v>2029</v>
      </c>
      <c r="D676" s="3" t="str">
        <f ca="1">IFERROR(__xludf.DUMMYFUNCTION("GOOGLETRANSLATE(A676,""fr"",""en"")"),"give up")</f>
        <v>give up</v>
      </c>
      <c r="E676" s="3" t="str">
        <f ca="1">IFERROR(__xludf.DUMMYFUNCTION("GOOGLETRANSLATE(B676,""fr"",""en"")"),"They give up their dreams for the sake of their family.")</f>
        <v>They give up their dreams for the sake of their family.</v>
      </c>
    </row>
    <row r="677" spans="1:5" x14ac:dyDescent="0.25">
      <c r="A677" s="2" t="s">
        <v>2030</v>
      </c>
      <c r="B677" s="2" t="s">
        <v>2031</v>
      </c>
      <c r="C677" s="3" t="s">
        <v>2032</v>
      </c>
      <c r="D677" s="3" t="str">
        <f ca="1">IFERROR(__xludf.DUMMYFUNCTION("GOOGLETRANSLATE(A677,""fr"",""en"")"),"guess")</f>
        <v>guess</v>
      </c>
      <c r="E677" s="3" t="str">
        <f ca="1">IFERROR(__xludf.DUMMYFUNCTION("GOOGLETRANSLATE(B677,""fr"",""en"")"),"We guess the answer without hesitation.")</f>
        <v>We guess the answer without hesitation.</v>
      </c>
    </row>
    <row r="678" spans="1:5" x14ac:dyDescent="0.25">
      <c r="A678" s="2" t="s">
        <v>2033</v>
      </c>
      <c r="B678" s="2" t="s">
        <v>2034</v>
      </c>
      <c r="C678" s="3" t="s">
        <v>2035</v>
      </c>
      <c r="D678" s="3" t="str">
        <f ca="1">IFERROR(__xludf.DUMMYFUNCTION("GOOGLETRANSLATE(A678,""fr"",""en"")"),"fell")</f>
        <v>fell</v>
      </c>
      <c r="E678" s="3" t="str">
        <f ca="1">IFERROR(__xludf.DUMMYFUNCTION("GOOGLETRANSLATE(B678,""fr"",""en"")"),"She cuts down the tree to enlarge the garden.")</f>
        <v>She cuts down the tree to enlarge the garden.</v>
      </c>
    </row>
    <row r="679" spans="1:5" x14ac:dyDescent="0.25">
      <c r="A679" s="2" t="s">
        <v>2036</v>
      </c>
      <c r="B679" s="2" t="s">
        <v>2037</v>
      </c>
      <c r="C679" s="3" t="s">
        <v>2038</v>
      </c>
      <c r="D679" s="3" t="str">
        <f ca="1">IFERROR(__xludf.DUMMYFUNCTION("GOOGLETRANSLATE(A679,""fr"",""en"")"),"to relocate")</f>
        <v>to relocate</v>
      </c>
      <c r="E679" s="3" t="str">
        <f ca="1">IFERROR(__xludf.DUMMYFUNCTION("GOOGLETRANSLATE(B679,""fr"",""en"")"),"They move to a new city.")</f>
        <v>They move to a new city.</v>
      </c>
    </row>
    <row r="680" spans="1:5" x14ac:dyDescent="0.25">
      <c r="A680" s="2" t="s">
        <v>2039</v>
      </c>
      <c r="B680" s="2" t="s">
        <v>2040</v>
      </c>
      <c r="C680" s="3" t="s">
        <v>2041</v>
      </c>
      <c r="D680" s="3" t="str">
        <f ca="1">IFERROR(__xludf.DUMMYFUNCTION("GOOGLETRANSLATE(A680,""fr"",""en"")"),"hang")</f>
        <v>hang</v>
      </c>
      <c r="E680" s="3" t="str">
        <f ca="1">IFERROR(__xludf.DUMMYFUNCTION("GOOGLETRANSLATE(B680,""fr"",""en"")"),"We hang the curtains in the living room.")</f>
        <v>We hang the curtains in the living room.</v>
      </c>
    </row>
    <row r="681" spans="1:5" x14ac:dyDescent="0.25">
      <c r="A681" s="2" t="s">
        <v>2042</v>
      </c>
      <c r="B681" s="2" t="s">
        <v>2043</v>
      </c>
      <c r="C681" s="3" t="s">
        <v>2044</v>
      </c>
      <c r="D681" s="3" t="str">
        <f ca="1">IFERROR(__xludf.DUMMYFUNCTION("GOOGLETRANSLATE(A681,""fr"",""en"")"),"to squeeze")</f>
        <v>to squeeze</v>
      </c>
      <c r="E681" s="3" t="str">
        <f ca="1">IFERROR(__xludf.DUMMYFUNCTION("GOOGLETRANSLATE(B681,""fr"",""en"")"),"She hugs her friend.")</f>
        <v>She hugs her friend.</v>
      </c>
    </row>
    <row r="682" spans="1:5" x14ac:dyDescent="0.25">
      <c r="A682" s="2" t="s">
        <v>2045</v>
      </c>
      <c r="B682" s="2" t="s">
        <v>2046</v>
      </c>
      <c r="C682" s="3" t="s">
        <v>2047</v>
      </c>
      <c r="D682" s="3" t="str">
        <f ca="1">IFERROR(__xludf.DUMMYFUNCTION("GOOGLETRANSLATE(A682,""fr"",""en"")"),"dress")</f>
        <v>dress</v>
      </c>
      <c r="E682" s="3" t="str">
        <f ca="1">IFERROR(__xludf.DUMMYFUNCTION("GOOGLETRANSLATE(B682,""fr"",""en"")"),"They dress the children for school.")</f>
        <v>They dress the children for school.</v>
      </c>
    </row>
    <row r="683" spans="1:5" x14ac:dyDescent="0.25">
      <c r="A683" s="2" t="s">
        <v>2048</v>
      </c>
      <c r="B683" s="2" t="s">
        <v>2049</v>
      </c>
      <c r="C683" s="3" t="s">
        <v>2050</v>
      </c>
      <c r="D683" s="3" t="str">
        <f ca="1">IFERROR(__xludf.DUMMYFUNCTION("GOOGLETRANSLATE(A683,""fr"",""en"")"),"slice")</f>
        <v>slice</v>
      </c>
      <c r="E683" s="3" t="str">
        <f ca="1">IFERROR(__xludf.DUMMYFUNCTION("GOOGLETRANSLATE(B683,""fr"",""en"")"),"We slice the bread into thin slices.")</f>
        <v>We slice the bread into thin slices.</v>
      </c>
    </row>
    <row r="684" spans="1:5" x14ac:dyDescent="0.25">
      <c r="A684" s="2" t="s">
        <v>2051</v>
      </c>
      <c r="B684" s="2" t="s">
        <v>2052</v>
      </c>
      <c r="C684" s="3" t="s">
        <v>2053</v>
      </c>
      <c r="D684" s="3" t="str">
        <f ca="1">IFERROR(__xludf.DUMMYFUNCTION("GOOGLETRANSLATE(A684,""fr"",""en"")"),"deprive")</f>
        <v>deprive</v>
      </c>
      <c r="E684" s="3" t="str">
        <f ca="1">IFERROR(__xludf.DUMMYFUNCTION("GOOGLETRANSLATE(B684,""fr"",""en"")"),"She deprives herself of her cell phone for a week.")</f>
        <v>She deprives herself of her cell phone for a week.</v>
      </c>
    </row>
    <row r="685" spans="1:5" x14ac:dyDescent="0.25">
      <c r="A685" s="2" t="s">
        <v>2054</v>
      </c>
      <c r="B685" s="2" t="s">
        <v>2055</v>
      </c>
      <c r="C685" s="3" t="s">
        <v>2056</v>
      </c>
      <c r="D685" s="3" t="str">
        <f ca="1">IFERROR(__xludf.DUMMYFUNCTION("GOOGLETRANSLATE(A685,""fr"",""en"")"),"notify")</f>
        <v>notify</v>
      </c>
      <c r="E685" s="3" t="str">
        <f ca="1">IFERROR(__xludf.DUMMYFUNCTION("GOOGLETRANSLATE(B685,""fr"",""en"")"),"They notify customers of upcoming changes.")</f>
        <v>They notify customers of upcoming changes.</v>
      </c>
    </row>
    <row r="686" spans="1:5" x14ac:dyDescent="0.25">
      <c r="A686" s="2" t="s">
        <v>2057</v>
      </c>
      <c r="B686" s="2" t="s">
        <v>2058</v>
      </c>
      <c r="C686" s="3" t="s">
        <v>2059</v>
      </c>
      <c r="D686" s="3" t="str">
        <f ca="1">IFERROR(__xludf.DUMMYFUNCTION("GOOGLETRANSLATE(A686,""fr"",""en"")"),"taste")</f>
        <v>taste</v>
      </c>
      <c r="E686" s="3" t="str">
        <f ca="1">IFERROR(__xludf.DUMMYFUNCTION("GOOGLETRANSLATE(B686,""fr"",""en"")"),"We enjoy a delicious French meal.")</f>
        <v>We enjoy a delicious French meal.</v>
      </c>
    </row>
    <row r="687" spans="1:5" x14ac:dyDescent="0.25">
      <c r="A687" s="2" t="s">
        <v>2060</v>
      </c>
      <c r="B687" s="2" t="s">
        <v>2061</v>
      </c>
      <c r="C687" s="3" t="s">
        <v>2062</v>
      </c>
      <c r="D687" s="3" t="str">
        <f ca="1">IFERROR(__xludf.DUMMYFUNCTION("GOOGLETRANSLATE(A687,""fr"",""en"")"),"secure")</f>
        <v>secure</v>
      </c>
      <c r="E687" s="3" t="str">
        <f ca="1">IFERROR(__xludf.DUMMYFUNCTION("GOOGLETRANSLATE(B687,""fr"",""en"")"),"She secures her data with a strong password.")</f>
        <v>She secures her data with a strong password.</v>
      </c>
    </row>
    <row r="688" spans="1:5" x14ac:dyDescent="0.25">
      <c r="A688" s="2" t="s">
        <v>2063</v>
      </c>
      <c r="B688" s="2" t="s">
        <v>2064</v>
      </c>
      <c r="C688" s="3" t="s">
        <v>2065</v>
      </c>
      <c r="D688" s="3" t="str">
        <f ca="1">IFERROR(__xludf.DUMMYFUNCTION("GOOGLETRANSLATE(A688,""fr"",""en"")"),"to hire")</f>
        <v>to hire</v>
      </c>
      <c r="E688" s="3" t="str">
        <f ca="1">IFERROR(__xludf.DUMMYFUNCTION("GOOGLETRANSLATE(B688,""fr"",""en"")"),"They hire new employees every month.")</f>
        <v>They hire new employees every month.</v>
      </c>
    </row>
    <row r="689" spans="1:5" x14ac:dyDescent="0.25">
      <c r="A689" s="2" t="s">
        <v>2066</v>
      </c>
      <c r="B689" s="2" t="s">
        <v>2067</v>
      </c>
      <c r="C689" s="3" t="s">
        <v>2068</v>
      </c>
      <c r="D689" s="3" t="str">
        <f ca="1">IFERROR(__xludf.DUMMYFUNCTION("GOOGLETRANSLATE(A689,""fr"",""en"")"),"to trace")</f>
        <v>to trace</v>
      </c>
      <c r="E689" s="3" t="str">
        <f ca="1">IFERROR(__xludf.DUMMYFUNCTION("GOOGLETRANSLATE(B689,""fr"",""en"")"),"We are drawing up a new marketing strategy.")</f>
        <v>We are drawing up a new marketing strategy.</v>
      </c>
    </row>
    <row r="690" spans="1:5" x14ac:dyDescent="0.25">
      <c r="A690" s="2" t="s">
        <v>2069</v>
      </c>
      <c r="B690" s="2" t="s">
        <v>2070</v>
      </c>
      <c r="C690" s="3" t="s">
        <v>2071</v>
      </c>
      <c r="D690" s="3" t="str">
        <f ca="1">IFERROR(__xludf.DUMMYFUNCTION("GOOGLETRANSLATE(A690,""fr"",""en"")"),"diversify")</f>
        <v>diversify</v>
      </c>
      <c r="E690" s="3" t="str">
        <f ca="1">IFERROR(__xludf.DUMMYFUNCTION("GOOGLETRANSLATE(B690,""fr"",""en"")"),"It diversifies its investments to reduce risks.")</f>
        <v>It diversifies its investments to reduce risks.</v>
      </c>
    </row>
    <row r="691" spans="1:5" x14ac:dyDescent="0.25">
      <c r="A691" s="2" t="s">
        <v>2072</v>
      </c>
      <c r="B691" s="2" t="s">
        <v>2073</v>
      </c>
      <c r="C691" s="3" t="s">
        <v>2074</v>
      </c>
      <c r="D691" s="3" t="str">
        <f ca="1">IFERROR(__xludf.DUMMYFUNCTION("GOOGLETRANSLATE(A691,""fr"",""en"")"),"discourage")</f>
        <v>discourage</v>
      </c>
      <c r="E691" s="3" t="str">
        <f ca="1">IFERROR(__xludf.DUMMYFUNCTION("GOOGLETRANSLATE(B691,""fr"",""en"")"),"They discourage any attempt at cheating.")</f>
        <v>They discourage any attempt at cheating.</v>
      </c>
    </row>
    <row r="692" spans="1:5" x14ac:dyDescent="0.25">
      <c r="A692" s="2" t="s">
        <v>2075</v>
      </c>
      <c r="B692" s="2" t="s">
        <v>2076</v>
      </c>
      <c r="C692" s="3" t="s">
        <v>2077</v>
      </c>
      <c r="D692" s="3" t="str">
        <f ca="1">IFERROR(__xludf.DUMMYFUNCTION("GOOGLETRANSLATE(A692,""fr"",""en"")"),"divert")</f>
        <v>divert</v>
      </c>
      <c r="E692" s="3" t="str">
        <f ca="1">IFERROR(__xludf.DUMMYFUNCTION("GOOGLETRANSLATE(B692,""fr"",""en"")"),"We are turning our attention to a new project.")</f>
        <v>We are turning our attention to a new project.</v>
      </c>
    </row>
    <row r="693" spans="1:5" x14ac:dyDescent="0.25">
      <c r="A693" s="2" t="s">
        <v>2078</v>
      </c>
      <c r="B693" s="2" t="s">
        <v>2079</v>
      </c>
      <c r="C693" s="3" t="s">
        <v>2080</v>
      </c>
      <c r="D693" s="3" t="str">
        <f ca="1">IFERROR(__xludf.DUMMYFUNCTION("GOOGLETRANSLATE(A693,""fr"",""en"")"),"invent")</f>
        <v>invent</v>
      </c>
      <c r="E693" s="3" t="str">
        <f ca="1">IFERROR(__xludf.DUMMYFUNCTION("GOOGLETRANSLATE(B693,""fr"",""en"")"),"She invents a fantastic story.")</f>
        <v>She invents a fantastic story.</v>
      </c>
    </row>
    <row r="694" spans="1:5" x14ac:dyDescent="0.25">
      <c r="A694" s="2" t="s">
        <v>2081</v>
      </c>
      <c r="B694" s="2" t="s">
        <v>2082</v>
      </c>
      <c r="C694" s="3" t="s">
        <v>2083</v>
      </c>
      <c r="D694" s="3" t="str">
        <f ca="1">IFERROR(__xludf.DUMMYFUNCTION("GOOGLETRANSLATE(A694,""fr"",""en"")"),"eradicate")</f>
        <v>eradicate</v>
      </c>
      <c r="E694" s="3" t="str">
        <f ca="1">IFERROR(__xludf.DUMMYFUNCTION("GOOGLETRANSLATE(B694,""fr"",""en"")"),"They eradicate weeds from the garden.")</f>
        <v>They eradicate weeds from the garden.</v>
      </c>
    </row>
    <row r="695" spans="1:5" x14ac:dyDescent="0.25">
      <c r="A695" s="2" t="s">
        <v>2084</v>
      </c>
      <c r="B695" s="2" t="s">
        <v>2085</v>
      </c>
      <c r="C695" s="3" t="s">
        <v>2086</v>
      </c>
      <c r="D695" s="3" t="str">
        <f ca="1">IFERROR(__xludf.DUMMYFUNCTION("GOOGLETRANSLATE(A695,""fr"",""en"")"),"dream")</f>
        <v>dream</v>
      </c>
      <c r="E695" s="3" t="str">
        <f ca="1">IFERROR(__xludf.DUMMYFUNCTION("GOOGLETRANSLATE(B695,""fr"",""en"")"),"We dream of traveling around the world.")</f>
        <v>We dream of traveling around the world.</v>
      </c>
    </row>
    <row r="696" spans="1:5" x14ac:dyDescent="0.25">
      <c r="A696" s="2" t="s">
        <v>2087</v>
      </c>
      <c r="B696" s="2" t="s">
        <v>2088</v>
      </c>
      <c r="C696" s="3" t="s">
        <v>2089</v>
      </c>
      <c r="D696" s="3" t="str">
        <f ca="1">IFERROR(__xludf.DUMMYFUNCTION("GOOGLETRANSLATE(A696,""fr"",""en"")"),"to perfect")</f>
        <v>to perfect</v>
      </c>
      <c r="E696" s="3" t="str">
        <f ca="1">IFERROR(__xludf.DUMMYFUNCTION("GOOGLETRANSLATE(B696,""fr"",""en"")"),"She is improving her computer skills.")</f>
        <v>She is improving her computer skills.</v>
      </c>
    </row>
    <row r="697" spans="1:5" x14ac:dyDescent="0.25">
      <c r="A697" s="2" t="s">
        <v>2090</v>
      </c>
      <c r="B697" s="2" t="s">
        <v>2091</v>
      </c>
      <c r="C697" s="3" t="s">
        <v>2092</v>
      </c>
      <c r="D697" s="3" t="str">
        <f ca="1">IFERROR(__xludf.DUMMYFUNCTION("GOOGLETRANSLATE(A697,""fr"",""en"")"),"anticipate")</f>
        <v>anticipate</v>
      </c>
      <c r="E697" s="3" t="str">
        <f ca="1">IFERROR(__xludf.DUMMYFUNCTION("GOOGLETRANSLATE(B697,""fr"",""en"")"),"They anticipate the future needs of their customers.")</f>
        <v>They anticipate the future needs of their customers.</v>
      </c>
    </row>
    <row r="698" spans="1:5" x14ac:dyDescent="0.25">
      <c r="A698" s="2" t="s">
        <v>2093</v>
      </c>
      <c r="B698" s="2" t="s">
        <v>2094</v>
      </c>
      <c r="C698" s="3" t="s">
        <v>2095</v>
      </c>
      <c r="D698" s="3" t="str">
        <f ca="1">IFERROR(__xludf.DUMMYFUNCTION("GOOGLETRANSLATE(A698,""fr"",""en"")"),"risk")</f>
        <v>risk</v>
      </c>
      <c r="E698" s="3" t="str">
        <f ca="1">IFERROR(__xludf.DUMMYFUNCTION("GOOGLETRANSLATE(B698,""fr"",""en"")"),"We risk losing a lot of money.")</f>
        <v>We risk losing a lot of money.</v>
      </c>
    </row>
    <row r="699" spans="1:5" x14ac:dyDescent="0.25">
      <c r="A699" s="2" t="s">
        <v>2096</v>
      </c>
      <c r="B699" s="2" t="s">
        <v>2097</v>
      </c>
      <c r="C699" s="3" t="s">
        <v>2098</v>
      </c>
      <c r="D699" s="3" t="str">
        <f ca="1">IFERROR(__xludf.DUMMYFUNCTION("GOOGLETRANSLATE(A699,""fr"",""en"")"),"to enhance")</f>
        <v>to enhance</v>
      </c>
      <c r="E699" s="3" t="str">
        <f ca="1">IFERROR(__xludf.DUMMYFUNCTION("GOOGLETRANSLATE(B699,""fr"",""en"")"),"She values ​​her team by recognizing their efforts.")</f>
        <v>She values ​​her team by recognizing their efforts.</v>
      </c>
    </row>
    <row r="700" spans="1:5" x14ac:dyDescent="0.25">
      <c r="A700" s="2" t="s">
        <v>2099</v>
      </c>
      <c r="B700" s="2" t="s">
        <v>2100</v>
      </c>
      <c r="C700" s="3" t="s">
        <v>2101</v>
      </c>
      <c r="D700" s="3" t="str">
        <f ca="1">IFERROR(__xludf.DUMMYFUNCTION("GOOGLETRANSLATE(A700,""fr"",""en"")"),"accuse")</f>
        <v>accuse</v>
      </c>
      <c r="E700" s="3" t="str">
        <f ca="1">IFERROR(__xludf.DUMMYFUNCTION("GOOGLETRANSLATE(B700,""fr"",""en"")"),"They are reeling from the failure of the project.")</f>
        <v>They are reeling from the failure of the project.</v>
      </c>
    </row>
    <row r="701" spans="1:5" x14ac:dyDescent="0.25">
      <c r="A701" s="2" t="s">
        <v>2102</v>
      </c>
      <c r="B701" s="2" t="s">
        <v>2103</v>
      </c>
      <c r="C701" s="3" t="s">
        <v>2104</v>
      </c>
      <c r="D701" s="3" t="str">
        <f ca="1">IFERROR(__xludf.DUMMYFUNCTION("GOOGLETRANSLATE(A701,""fr"",""en"")"),"to prime")</f>
        <v>to prime</v>
      </c>
      <c r="E701" s="3" t="str">
        <f ca="1">IFERROR(__xludf.DUMMYFUNCTION("GOOGLETRANSLATE(B701,""fr"",""en"")"),"They begin the project with enthusiasm.")</f>
        <v>They begin the project with enthusiasm.</v>
      </c>
    </row>
    <row r="702" spans="1:5" x14ac:dyDescent="0.25">
      <c r="A702" s="2" t="s">
        <v>2105</v>
      </c>
      <c r="B702" s="2" t="s">
        <v>2106</v>
      </c>
      <c r="C702" s="3" t="s">
        <v>2107</v>
      </c>
      <c r="D702" s="3" t="str">
        <f ca="1">IFERROR(__xludf.DUMMYFUNCTION("GOOGLETRANSLATE(A702,""fr"",""en"")"),"celebrate")</f>
        <v>celebrate</v>
      </c>
      <c r="E702" s="3" t="str">
        <f ca="1">IFERROR(__xludf.DUMMYFUNCTION("GOOGLETRANSLATE(B702,""fr"",""en"")"),"We celebrate our anniversary every year.")</f>
        <v>We celebrate our anniversary every year.</v>
      </c>
    </row>
    <row r="703" spans="1:5" x14ac:dyDescent="0.25">
      <c r="A703" s="2" t="s">
        <v>2108</v>
      </c>
      <c r="B703" s="2" t="s">
        <v>2109</v>
      </c>
      <c r="C703" s="3" t="s">
        <v>2110</v>
      </c>
      <c r="D703" s="3" t="str">
        <f ca="1">IFERROR(__xludf.DUMMYFUNCTION("GOOGLETRANSLATE(A703,""fr"",""en"")"),"stop")</f>
        <v>stop</v>
      </c>
      <c r="E703" s="3" t="str">
        <f ca="1">IFERROR(__xludf.DUMMYFUNCTION("GOOGLETRANSLATE(B703,""fr"",""en"")"),"She stops the car abruptly.")</f>
        <v>She stops the car abruptly.</v>
      </c>
    </row>
    <row r="704" spans="1:5" x14ac:dyDescent="0.25">
      <c r="A704" s="2" t="s">
        <v>2111</v>
      </c>
      <c r="B704" s="2" t="s">
        <v>2112</v>
      </c>
      <c r="C704" s="3" t="s">
        <v>2113</v>
      </c>
      <c r="D704" s="3" t="str">
        <f ca="1">IFERROR(__xludf.DUMMYFUNCTION("GOOGLETRANSLATE(A704,""fr"",""en"")"),"weaken")</f>
        <v>weaken</v>
      </c>
      <c r="E704" s="3" t="str">
        <f ca="1">IFERROR(__xludf.DUMMYFUNCTION("GOOGLETRANSLATE(B704,""fr"",""en"")"),"They weaken the enemy with constant attacks.")</f>
        <v>They weaken the enemy with constant attacks.</v>
      </c>
    </row>
    <row r="705" spans="1:5" x14ac:dyDescent="0.25">
      <c r="A705" s="2" t="s">
        <v>2114</v>
      </c>
      <c r="B705" s="2" t="s">
        <v>2115</v>
      </c>
      <c r="C705" s="3" t="s">
        <v>2116</v>
      </c>
      <c r="D705" s="3" t="str">
        <f ca="1">IFERROR(__xludf.DUMMYFUNCTION("GOOGLETRANSLATE(A705,""fr"",""en"")"),"alleviate")</f>
        <v>alleviate</v>
      </c>
      <c r="E705" s="3" t="str">
        <f ca="1">IFERROR(__xludf.DUMMYFUNCTION("GOOGLETRANSLATE(B705,""fr"",""en"")"),"We lighten our luggage for the trip.")</f>
        <v>We lighten our luggage for the trip.</v>
      </c>
    </row>
    <row r="706" spans="1:5" x14ac:dyDescent="0.25">
      <c r="A706" s="2" t="s">
        <v>2117</v>
      </c>
      <c r="B706" s="2" t="s">
        <v>2118</v>
      </c>
      <c r="C706" s="3" t="s">
        <v>2119</v>
      </c>
      <c r="D706" s="3" t="str">
        <f ca="1">IFERROR(__xludf.DUMMYFUNCTION("GOOGLETRANSLATE(A706,""fr"",""en"")"),"to generate")</f>
        <v>to generate</v>
      </c>
      <c r="E706" s="3" t="str">
        <f ca="1">IFERROR(__xludf.DUMMYFUNCTION("GOOGLETRANSLATE(B706,""fr"",""en"")"),"It generates lively discussions during meetings.")</f>
        <v>It generates lively discussions during meetings.</v>
      </c>
    </row>
    <row r="707" spans="1:5" x14ac:dyDescent="0.25">
      <c r="A707" s="2" t="s">
        <v>2120</v>
      </c>
      <c r="B707" s="2" t="s">
        <v>2121</v>
      </c>
      <c r="C707" s="3" t="s">
        <v>2122</v>
      </c>
      <c r="D707" s="3" t="str">
        <f ca="1">IFERROR(__xludf.DUMMYFUNCTION("GOOGLETRANSLATE(A707,""fr"",""en"")"),"to taste")</f>
        <v>to taste</v>
      </c>
      <c r="E707" s="3" t="str">
        <f ca="1">IFERROR(__xludf.DUMMYFUNCTION("GOOGLETRANSLATE(B707,""fr"",""en"")"),"She tastes the exotic dish for the first time.")</f>
        <v>She tastes the exotic dish for the first time.</v>
      </c>
    </row>
    <row r="708" spans="1:5" x14ac:dyDescent="0.25">
      <c r="A708" s="2" t="s">
        <v>2123</v>
      </c>
      <c r="B708" s="2" t="s">
        <v>2124</v>
      </c>
      <c r="C708" s="3" t="s">
        <v>2125</v>
      </c>
      <c r="D708" s="3" t="str">
        <f ca="1">IFERROR(__xludf.DUMMYFUNCTION("GOOGLETRANSLATE(A708,""fr"",""en"")"),"reverse")</f>
        <v>reverse</v>
      </c>
      <c r="E708" s="3" t="str">
        <f ca="1">IFERROR(__xludf.DUMMYFUNCTION("GOOGLETRANSLATE(B708,""fr"",""en"")"),"They are reversing the market trend with a new strategy.")</f>
        <v>They are reversing the market trend with a new strategy.</v>
      </c>
    </row>
    <row r="709" spans="1:5" x14ac:dyDescent="0.25">
      <c r="A709" s="2" t="s">
        <v>2126</v>
      </c>
      <c r="B709" s="2" t="s">
        <v>2127</v>
      </c>
      <c r="C709" s="3" t="s">
        <v>2128</v>
      </c>
      <c r="D709" s="3" t="str">
        <f ca="1">IFERROR(__xludf.DUMMYFUNCTION("GOOGLETRANSLATE(A709,""fr"",""en"")"),"miss")</f>
        <v>miss</v>
      </c>
      <c r="E709" s="3" t="str">
        <f ca="1">IFERROR(__xludf.DUMMYFUNCTION("GOOGLETRANSLATE(B709,""fr"",""en"")"),"We just missed the train.")</f>
        <v>We just missed the train.</v>
      </c>
    </row>
    <row r="710" spans="1:5" x14ac:dyDescent="0.25">
      <c r="A710" s="2" t="s">
        <v>2129</v>
      </c>
      <c r="B710" s="2" t="s">
        <v>2130</v>
      </c>
      <c r="C710" s="3" t="s">
        <v>2131</v>
      </c>
      <c r="D710" s="3" t="str">
        <f ca="1">IFERROR(__xludf.DUMMYFUNCTION("GOOGLETRANSLATE(A710,""fr"",""en"")"),"to confess to")</f>
        <v>to confess to</v>
      </c>
      <c r="E710" s="3" t="str">
        <f ca="1">IFERROR(__xludf.DUMMYFUNCTION("GOOGLETRANSLATE(B710,""fr"",""en"")"),"She confesses her feelings to her best friend.")</f>
        <v>She confesses her feelings to her best friend.</v>
      </c>
    </row>
    <row r="711" spans="1:5" x14ac:dyDescent="0.25">
      <c r="A711" s="2" t="s">
        <v>2132</v>
      </c>
      <c r="B711" s="2" t="s">
        <v>2133</v>
      </c>
      <c r="C711" s="3" t="s">
        <v>2134</v>
      </c>
      <c r="D711" s="3" t="str">
        <f ca="1">IFERROR(__xludf.DUMMYFUNCTION("GOOGLETRANSLATE(A711,""fr"",""en"")"),"unite")</f>
        <v>unite</v>
      </c>
      <c r="E711" s="3" t="str">
        <f ca="1">IFERROR(__xludf.DUMMYFUNCTION("GOOGLETRANSLATE(B711,""fr"",""en"")"),"They join forces for the common project.")</f>
        <v>They join forces for the common project.</v>
      </c>
    </row>
    <row r="712" spans="1:5" x14ac:dyDescent="0.25">
      <c r="A712" s="2" t="s">
        <v>2135</v>
      </c>
      <c r="B712" s="2" t="s">
        <v>2136</v>
      </c>
      <c r="C712" s="3" t="s">
        <v>2137</v>
      </c>
      <c r="D712" s="3" t="str">
        <f ca="1">IFERROR(__xludf.DUMMYFUNCTION("GOOGLETRANSLATE(A712,""fr"",""en"")"),"educate")</f>
        <v>educate</v>
      </c>
      <c r="E712" s="3" t="str">
        <f ca="1">IFERROR(__xludf.DUMMYFUNCTION("GOOGLETRANSLATE(B712,""fr"",""en"")"),"We educate young people about the importance of the environment.")</f>
        <v>We educate young people about the importance of the environment.</v>
      </c>
    </row>
    <row r="713" spans="1:5" x14ac:dyDescent="0.25">
      <c r="A713" s="2" t="s">
        <v>2138</v>
      </c>
      <c r="B713" s="2" t="s">
        <v>2139</v>
      </c>
      <c r="C713" s="3" t="s">
        <v>2140</v>
      </c>
      <c r="D713" s="3" t="str">
        <f ca="1">IFERROR(__xludf.DUMMYFUNCTION("GOOGLETRANSLATE(A713,""fr"",""en"")"),"dig")</f>
        <v>dig</v>
      </c>
      <c r="E713" s="3" t="str">
        <f ca="1">IFERROR(__xludf.DUMMYFUNCTION("GOOGLETRANSLATE(B713,""fr"",""en"")"),"He digs a hole to plant trees.")</f>
        <v>He digs a hole to plant trees.</v>
      </c>
    </row>
    <row r="714" spans="1:5" x14ac:dyDescent="0.25">
      <c r="A714" s="2" t="s">
        <v>2141</v>
      </c>
      <c r="B714" s="2" t="s">
        <v>2142</v>
      </c>
      <c r="C714" s="3" t="s">
        <v>2143</v>
      </c>
      <c r="D714" s="3" t="str">
        <f ca="1">IFERROR(__xludf.DUMMYFUNCTION("GOOGLETRANSLATE(A714,""fr"",""en"")"),"notify")</f>
        <v>notify</v>
      </c>
      <c r="E714" s="3" t="str">
        <f ca="1">IFERROR(__xludf.DUMMYFUNCTION("GOOGLETRANSLATE(B714,""fr"",""en"")"),"She notifies all participants of the schedule change.")</f>
        <v>She notifies all participants of the schedule change.</v>
      </c>
    </row>
    <row r="715" spans="1:5" x14ac:dyDescent="0.25">
      <c r="A715" s="2" t="s">
        <v>2144</v>
      </c>
      <c r="B715" s="2" t="s">
        <v>2145</v>
      </c>
      <c r="C715" s="3" t="s">
        <v>2146</v>
      </c>
      <c r="D715" s="3" t="str">
        <f ca="1">IFERROR(__xludf.DUMMYFUNCTION("GOOGLETRANSLATE(A715,""fr"",""en"")"),"work")</f>
        <v>work</v>
      </c>
      <c r="E715" s="3" t="str">
        <f ca="1">IFERROR(__xludf.DUMMYFUNCTION("GOOGLETRANSLATE(B715,""fr"",""en"")"),"They work hard to achieve their goals.")</f>
        <v>They work hard to achieve their goals.</v>
      </c>
    </row>
    <row r="716" spans="1:5" x14ac:dyDescent="0.25">
      <c r="A716" s="2" t="s">
        <v>2147</v>
      </c>
      <c r="B716" s="2" t="s">
        <v>2148</v>
      </c>
      <c r="C716" s="3" t="s">
        <v>2149</v>
      </c>
      <c r="D716" s="3" t="str">
        <f ca="1">IFERROR(__xludf.DUMMYFUNCTION("GOOGLETRANSLATE(A716,""fr"",""en"")"),"disturb")</f>
        <v>disturb</v>
      </c>
      <c r="E716" s="3" t="str">
        <f ca="1">IFERROR(__xludf.DUMMYFUNCTION("GOOGLETRANSLATE(B716,""fr"",""en"")"),"We disrupt the daily routine for a surprise party.")</f>
        <v>We disrupt the daily routine for a surprise party.</v>
      </c>
    </row>
    <row r="717" spans="1:5" x14ac:dyDescent="0.25">
      <c r="A717" s="2" t="s">
        <v>2150</v>
      </c>
      <c r="B717" s="2" t="s">
        <v>2151</v>
      </c>
      <c r="C717" s="3" t="s">
        <v>2152</v>
      </c>
      <c r="D717" s="3" t="str">
        <f ca="1">IFERROR(__xludf.DUMMYFUNCTION("GOOGLETRANSLATE(A717,""fr"",""en"")"),"investigate")</f>
        <v>investigate</v>
      </c>
      <c r="E717" s="3" t="str">
        <f ca="1">IFERROR(__xludf.DUMMYFUNCTION("GOOGLETRANSLATE(B717,""fr"",""en"")"),"She is investigating the matter seriously.")</f>
        <v>She is investigating the matter seriously.</v>
      </c>
    </row>
    <row r="718" spans="1:5" x14ac:dyDescent="0.25">
      <c r="A718" s="2" t="s">
        <v>2153</v>
      </c>
      <c r="B718" s="2" t="s">
        <v>2154</v>
      </c>
      <c r="C718" s="3" t="s">
        <v>2155</v>
      </c>
      <c r="D718" s="3" t="str">
        <f ca="1">IFERROR(__xludf.DUMMYFUNCTION("GOOGLETRANSLATE(A718,""fr"",""en"")"),"convene")</f>
        <v>convene</v>
      </c>
      <c r="E718" s="3" t="str">
        <f ca="1">IFERROR(__xludf.DUMMYFUNCTION("GOOGLETRANSLATE(B718,""fr"",""en"")"),"They call an emergency meeting.")</f>
        <v>They call an emergency meeting.</v>
      </c>
    </row>
    <row r="719" spans="1:5" x14ac:dyDescent="0.25">
      <c r="A719" s="2" t="s">
        <v>2156</v>
      </c>
      <c r="B719" s="2" t="s">
        <v>2157</v>
      </c>
      <c r="C719" s="3" t="s">
        <v>2158</v>
      </c>
      <c r="D719" s="3" t="str">
        <f ca="1">IFERROR(__xludf.DUMMYFUNCTION("GOOGLETRANSLATE(A719,""fr"",""en"")"),"to please")</f>
        <v>to please</v>
      </c>
      <c r="E719" s="3" t="str">
        <f ca="1">IFERROR(__xludf.DUMMYFUNCTION("GOOGLETRANSLATE(B719,""fr"",""en"")"),"We try to please our customers with quality service.")</f>
        <v>We try to please our customers with quality service.</v>
      </c>
    </row>
    <row r="720" spans="1:5" x14ac:dyDescent="0.25">
      <c r="A720" s="2" t="s">
        <v>2159</v>
      </c>
      <c r="B720" s="2" t="s">
        <v>2160</v>
      </c>
      <c r="C720" s="3" t="s">
        <v>2161</v>
      </c>
      <c r="D720" s="3" t="str">
        <f ca="1">IFERROR(__xludf.DUMMYFUNCTION("GOOGLETRANSLATE(A720,""fr"",""en"")"),"cause damage")</f>
        <v>cause damage</v>
      </c>
      <c r="E720" s="3" t="str">
        <f ca="1">IFERROR(__xludf.DUMMYFUNCTION("GOOGLETRANSLATE(B720,""fr"",""en"")"),"Unfortunately, he damages the precious vase.")</f>
        <v>Unfortunately, he damages the precious vase.</v>
      </c>
    </row>
    <row r="721" spans="1:5" x14ac:dyDescent="0.25">
      <c r="A721" s="2" t="s">
        <v>2162</v>
      </c>
      <c r="B721" s="2" t="s">
        <v>2163</v>
      </c>
      <c r="C721" s="3" t="s">
        <v>2164</v>
      </c>
      <c r="D721" s="3" t="str">
        <f ca="1">IFERROR(__xludf.DUMMYFUNCTION("GOOGLETRANSLATE(A721,""fr"",""en"")"),"couple")</f>
        <v>couple</v>
      </c>
      <c r="E721" s="3" t="str">
        <f ca="1">IFERROR(__xludf.DUMMYFUNCTION("GOOGLETRANSLATE(B721,""fr"",""en"")"),"It combines data for in-depth analysis.")</f>
        <v>It combines data for in-depth analysis.</v>
      </c>
    </row>
    <row r="722" spans="1:5" x14ac:dyDescent="0.25">
      <c r="A722" s="2" t="s">
        <v>2165</v>
      </c>
      <c r="B722" s="2" t="s">
        <v>2166</v>
      </c>
      <c r="C722" s="3" t="s">
        <v>2167</v>
      </c>
      <c r="D722" s="3" t="str">
        <f ca="1">IFERROR(__xludf.DUMMYFUNCTION("GOOGLETRANSLATE(A722,""fr"",""en"")"),"to repress")</f>
        <v>to repress</v>
      </c>
      <c r="E722" s="3" t="str">
        <f ca="1">IFERROR(__xludf.DUMMYFUNCTION("GOOGLETRANSLATE(B722,""fr"",""en"")"),"They are repressing the demonstrations with force.")</f>
        <v>They are repressing the demonstrations with force.</v>
      </c>
    </row>
    <row r="723" spans="1:5" x14ac:dyDescent="0.25">
      <c r="A723" s="2" t="s">
        <v>2168</v>
      </c>
      <c r="B723" s="2" t="s">
        <v>2169</v>
      </c>
      <c r="C723" s="3" t="s">
        <v>2170</v>
      </c>
      <c r="D723" s="3" t="str">
        <f ca="1">IFERROR(__xludf.DUMMYFUNCTION("GOOGLETRANSLATE(A723,""fr"",""en"")"),"empty")</f>
        <v>empty</v>
      </c>
      <c r="E723" s="3" t="str">
        <f ca="1">IFERROR(__xludf.DUMMYFUNCTION("GOOGLETRANSLATE(B723,""fr"",""en"")"),"We empty the contents of the boxes into the truck.")</f>
        <v>We empty the contents of the boxes into the truck.</v>
      </c>
    </row>
    <row r="724" spans="1:5" x14ac:dyDescent="0.25">
      <c r="A724" s="2" t="s">
        <v>2171</v>
      </c>
      <c r="B724" s="2" t="s">
        <v>2172</v>
      </c>
      <c r="C724" s="3" t="s">
        <v>2173</v>
      </c>
      <c r="D724" s="3" t="str">
        <f ca="1">IFERROR(__xludf.DUMMYFUNCTION("GOOGLETRANSLATE(A724,""fr"",""en"")"),"edit")</f>
        <v>edit</v>
      </c>
      <c r="E724" s="3" t="str">
        <f ca="1">IFERROR(__xludf.DUMMYFUNCTION("GOOGLETRANSLATE(B724,""fr"",""en"")"),"She edits her book before publishing it.")</f>
        <v>She edits her book before publishing it.</v>
      </c>
    </row>
    <row r="725" spans="1:5" x14ac:dyDescent="0.25">
      <c r="A725" s="2" t="s">
        <v>2174</v>
      </c>
      <c r="B725" s="2" t="s">
        <v>2175</v>
      </c>
      <c r="C725" s="3" t="s">
        <v>2176</v>
      </c>
      <c r="D725" s="3" t="str">
        <f ca="1">IFERROR(__xludf.DUMMYFUNCTION("GOOGLETRANSLATE(A725,""fr"",""en"")"),"stay")</f>
        <v>stay</v>
      </c>
      <c r="E725" s="3" t="str">
        <f ca="1">IFERROR(__xludf.DUMMYFUNCTION("GOOGLETRANSLATE(B725,""fr"",""en"")"),"They stay in a five-star hotel during their vacation.")</f>
        <v>They stay in a five-star hotel during their vacation.</v>
      </c>
    </row>
    <row r="726" spans="1:5" x14ac:dyDescent="0.25">
      <c r="A726" s="2" t="s">
        <v>2177</v>
      </c>
      <c r="B726" s="2" t="s">
        <v>2178</v>
      </c>
      <c r="C726" s="3" t="s">
        <v>2179</v>
      </c>
      <c r="D726" s="3" t="str">
        <f ca="1">IFERROR(__xludf.DUMMYFUNCTION("GOOGLETRANSLATE(A726,""fr"",""en"")"),"unload")</f>
        <v>unload</v>
      </c>
      <c r="E726" s="3" t="str">
        <f ca="1">IFERROR(__xludf.DUMMYFUNCTION("GOOGLETRANSLATE(B726,""fr"",""en"")"),"We unload the goods from the truck.")</f>
        <v>We unload the goods from the truck.</v>
      </c>
    </row>
    <row r="727" spans="1:5" x14ac:dyDescent="0.25">
      <c r="A727" s="2" t="s">
        <v>2180</v>
      </c>
      <c r="B727" s="2" t="s">
        <v>2181</v>
      </c>
      <c r="C727" s="3" t="s">
        <v>2182</v>
      </c>
      <c r="D727" s="3" t="str">
        <f ca="1">IFERROR(__xludf.DUMMYFUNCTION("GOOGLETRANSLATE(A727,""fr"",""en"")"),"plant")</f>
        <v>plant</v>
      </c>
      <c r="E727" s="3" t="str">
        <f ca="1">IFERROR(__xludf.DUMMYFUNCTION("GOOGLETRANSLATE(B727,""fr"",""en"")"),"He plants roses in his garden.")</f>
        <v>He plants roses in his garden.</v>
      </c>
    </row>
    <row r="728" spans="1:5" x14ac:dyDescent="0.25">
      <c r="A728" s="2" t="s">
        <v>2183</v>
      </c>
      <c r="B728" s="2" t="s">
        <v>2184</v>
      </c>
      <c r="C728" s="3" t="s">
        <v>2185</v>
      </c>
      <c r="D728" s="3" t="str">
        <f ca="1">IFERROR(__xludf.DUMMYFUNCTION("GOOGLETRANSLATE(A728,""fr"",""en"")"),"to flow")</f>
        <v>to flow</v>
      </c>
      <c r="E728" s="3" t="str">
        <f ca="1">IFERROR(__xludf.DUMMYFUNCTION("GOOGLETRANSLATE(B728,""fr"",""en"")"),"She sees the ship slowly sinking.")</f>
        <v>She sees the ship slowly sinking.</v>
      </c>
    </row>
    <row r="729" spans="1:5" x14ac:dyDescent="0.25">
      <c r="A729" s="2" t="s">
        <v>2186</v>
      </c>
      <c r="B729" s="2" t="s">
        <v>2187</v>
      </c>
      <c r="C729" s="3" t="s">
        <v>2188</v>
      </c>
      <c r="D729" s="3" t="str">
        <f ca="1">IFERROR(__xludf.DUMMYFUNCTION("GOOGLETRANSLATE(A729,""fr"",""en"")"),"equip")</f>
        <v>equip</v>
      </c>
      <c r="E729" s="3" t="str">
        <f ca="1">IFERROR(__xludf.DUMMYFUNCTION("GOOGLETRANSLATE(B729,""fr"",""en"")"),"They equip their office with the latest equipment.")</f>
        <v>They equip their office with the latest equipment.</v>
      </c>
    </row>
    <row r="730" spans="1:5" x14ac:dyDescent="0.25">
      <c r="A730" s="2" t="s">
        <v>2189</v>
      </c>
      <c r="B730" s="2" t="s">
        <v>2190</v>
      </c>
      <c r="C730" s="3" t="s">
        <v>2191</v>
      </c>
      <c r="D730" s="3" t="str">
        <f ca="1">IFERROR(__xludf.DUMMYFUNCTION("GOOGLETRANSLATE(A730,""fr"",""en"")"),"refine")</f>
        <v>refine</v>
      </c>
      <c r="E730" s="3" t="str">
        <f ca="1">IFERROR(__xludf.DUMMYFUNCTION("GOOGLETRANSLATE(B730,""fr"",""en"")"),"We are refining our marketing strategy.")</f>
        <v>We are refining our marketing strategy.</v>
      </c>
    </row>
    <row r="731" spans="1:5" x14ac:dyDescent="0.25">
      <c r="A731" s="2" t="s">
        <v>2192</v>
      </c>
      <c r="B731" s="2" t="s">
        <v>2193</v>
      </c>
      <c r="C731" s="3" t="s">
        <v>2194</v>
      </c>
      <c r="D731" s="3" t="str">
        <f ca="1">IFERROR(__xludf.DUMMYFUNCTION("GOOGLETRANSLATE(A731,""fr"",""en"")"),"deter")</f>
        <v>deter</v>
      </c>
      <c r="E731" s="3" t="str">
        <f ca="1">IFERROR(__xludf.DUMMYFUNCTION("GOOGLETRANSLATE(B731,""fr"",""en"")"),"She dissuades her brother from doing something stupid.")</f>
        <v>She dissuades her brother from doing something stupid.</v>
      </c>
    </row>
    <row r="732" spans="1:5" x14ac:dyDescent="0.25">
      <c r="A732" s="2" t="s">
        <v>2195</v>
      </c>
      <c r="B732" s="2" t="s">
        <v>2196</v>
      </c>
      <c r="C732" s="3" t="s">
        <v>2197</v>
      </c>
      <c r="D732" s="3" t="str">
        <f ca="1">IFERROR(__xludf.DUMMYFUNCTION("GOOGLETRANSLATE(A732,""fr"",""en"")"),"to know")</f>
        <v>to know</v>
      </c>
      <c r="E732" s="3" t="str">
        <f ca="1">IFERROR(__xludf.DUMMYFUNCTION("GOOGLETRANSLATE(B732,""fr"",""en"")"),"They are familiar with the financial sector.")</f>
        <v>They are familiar with the financial sector.</v>
      </c>
    </row>
    <row r="733" spans="1:5" x14ac:dyDescent="0.25">
      <c r="A733" s="2" t="s">
        <v>2198</v>
      </c>
      <c r="B733" s="2" t="s">
        <v>2199</v>
      </c>
      <c r="C733" s="3" t="s">
        <v>2200</v>
      </c>
      <c r="D733" s="3" t="str">
        <f ca="1">IFERROR(__xludf.DUMMYFUNCTION("GOOGLETRANSLATE(A733,""fr"",""en"")"),"to drive")</f>
        <v>to drive</v>
      </c>
      <c r="E733" s="3" t="str">
        <f ca="1">IFERROR(__xludf.DUMMYFUNCTION("GOOGLETRANSLATE(B733,""fr"",""en"")"),"He flies the plane with expertise.")</f>
        <v>He flies the plane with expertise.</v>
      </c>
    </row>
    <row r="734" spans="1:5" x14ac:dyDescent="0.25">
      <c r="A734" s="2" t="s">
        <v>2201</v>
      </c>
      <c r="B734" s="2" t="s">
        <v>2202</v>
      </c>
      <c r="C734" s="3" t="s">
        <v>2203</v>
      </c>
      <c r="D734" s="3" t="str">
        <f ca="1">IFERROR(__xludf.DUMMYFUNCTION("GOOGLETRANSLATE(A734,""fr"",""en"")"),"rummage")</f>
        <v>rummage</v>
      </c>
      <c r="E734" s="3" t="str">
        <f ca="1">IFERROR(__xludf.DUMMYFUNCTION("GOOGLETRANSLATE(B734,""fr"",""en"")"),"She rummages through her drawers looking for her keys.")</f>
        <v>She rummages through her drawers looking for her keys.</v>
      </c>
    </row>
    <row r="735" spans="1:5" x14ac:dyDescent="0.25">
      <c r="A735" s="2" t="s">
        <v>2204</v>
      </c>
      <c r="B735" s="2" t="s">
        <v>2205</v>
      </c>
      <c r="C735" s="3" t="s">
        <v>2206</v>
      </c>
      <c r="D735" s="3" t="str">
        <f ca="1">IFERROR(__xludf.DUMMYFUNCTION("GOOGLETRANSLATE(A735,""fr"",""en"")"),"to tear out")</f>
        <v>to tear out</v>
      </c>
      <c r="E735" s="3" t="str">
        <f ca="1">IFERROR(__xludf.DUMMYFUNCTION("GOOGLETRANSLATE(B735,""fr"",""en"")"),"They pull weeds from the garden.")</f>
        <v>They pull weeds from the garden.</v>
      </c>
    </row>
    <row r="736" spans="1:5" x14ac:dyDescent="0.25">
      <c r="A736" s="2" t="s">
        <v>2207</v>
      </c>
      <c r="B736" s="2" t="s">
        <v>2208</v>
      </c>
      <c r="C736" s="3" t="s">
        <v>2209</v>
      </c>
      <c r="D736" s="3" t="str">
        <f ca="1">IFERROR(__xludf.DUMMYFUNCTION("GOOGLETRANSLATE(A736,""fr"",""en"")"),"simulate")</f>
        <v>simulate</v>
      </c>
      <c r="E736" s="3" t="str">
        <f ca="1">IFERROR(__xludf.DUMMYFUNCTION("GOOGLETRANSLATE(B736,""fr"",""en"")"),"We simulate a meeting to test our reaction.")</f>
        <v>We simulate a meeting to test our reaction.</v>
      </c>
    </row>
    <row r="737" spans="1:5" x14ac:dyDescent="0.25">
      <c r="A737" s="2" t="s">
        <v>2210</v>
      </c>
      <c r="B737" s="2" t="s">
        <v>2211</v>
      </c>
      <c r="C737" s="3" t="s">
        <v>2212</v>
      </c>
      <c r="D737" s="3" t="str">
        <f ca="1">IFERROR(__xludf.DUMMYFUNCTION("GOOGLETRANSLATE(A737,""fr"",""en"")"),"surprise")</f>
        <v>surprise</v>
      </c>
      <c r="E737" s="3" t="str">
        <f ca="1">IFERROR(__xludf.DUMMYFUNCTION("GOOGLETRANSLATE(B737,""fr"",""en"")"),"He surprises his colleague with a birthday present.")</f>
        <v>He surprises his colleague with a birthday present.</v>
      </c>
    </row>
    <row r="738" spans="1:5" x14ac:dyDescent="0.25">
      <c r="A738" s="2" t="s">
        <v>2213</v>
      </c>
      <c r="B738" s="2" t="s">
        <v>2214</v>
      </c>
      <c r="C738" s="3" t="s">
        <v>2215</v>
      </c>
      <c r="D738" s="3" t="str">
        <f ca="1">IFERROR(__xludf.DUMMYFUNCTION("GOOGLETRANSLATE(A738,""fr"",""en"")"),"to light up")</f>
        <v>to light up</v>
      </c>
      <c r="E738" s="3" t="str">
        <f ca="1">IFERROR(__xludf.DUMMYFUNCTION("GOOGLETRANSLATE(B738,""fr"",""en"")"),"She lights the candle to create a warm atmosphere.")</f>
        <v>She lights the candle to create a warm atmosphere.</v>
      </c>
    </row>
    <row r="739" spans="1:5" x14ac:dyDescent="0.25">
      <c r="A739" s="2" t="s">
        <v>2216</v>
      </c>
      <c r="B739" s="2" t="s">
        <v>2217</v>
      </c>
      <c r="C739" s="3" t="s">
        <v>2218</v>
      </c>
      <c r="D739" s="3" t="str">
        <f ca="1">IFERROR(__xludf.DUMMYFUNCTION("GOOGLETRANSLATE(A739,""fr"",""en"")"),"pick up")</f>
        <v>pick up</v>
      </c>
      <c r="E739" s="3" t="str">
        <f ca="1">IFERROR(__xludf.DUMMYFUNCTION("GOOGLETRANSLATE(B739,""fr"",""en"")"),"They collect dead leaves in the garden.")</f>
        <v>They collect dead leaves in the garden.</v>
      </c>
    </row>
    <row r="740" spans="1:5" x14ac:dyDescent="0.25">
      <c r="A740" s="2" t="s">
        <v>2219</v>
      </c>
      <c r="B740" s="2" t="s">
        <v>2220</v>
      </c>
      <c r="C740" s="3" t="s">
        <v>2221</v>
      </c>
      <c r="D740" s="3" t="str">
        <f ca="1">IFERROR(__xludf.DUMMYFUNCTION("GOOGLETRANSLATE(A740,""fr"",""en"")"),"neutralize")</f>
        <v>neutralize</v>
      </c>
      <c r="E740" s="3" t="str">
        <f ca="1">IFERROR(__xludf.DUMMYFUNCTION("GOOGLETRANSLATE(B740,""fr"",""en"")"),"We neutralize the threat with diplomacy.")</f>
        <v>We neutralize the threat with diplomacy.</v>
      </c>
    </row>
    <row r="741" spans="1:5" x14ac:dyDescent="0.25">
      <c r="A741" s="2" t="s">
        <v>2222</v>
      </c>
      <c r="B741" s="2" t="s">
        <v>2223</v>
      </c>
      <c r="C741" s="3" t="s">
        <v>2224</v>
      </c>
      <c r="D741" s="3" t="str">
        <f ca="1">IFERROR(__xludf.DUMMYFUNCTION("GOOGLETRANSLATE(A741,""fr"",""en"")"),"characterize")</f>
        <v>characterize</v>
      </c>
      <c r="E741" s="3" t="str">
        <f ca="1">IFERROR(__xludf.DUMMYFUNCTION("GOOGLETRANSLATE(B741,""fr"",""en"")"),"He characterizes the main character of the novel.")</f>
        <v>He characterizes the main character of the novel.</v>
      </c>
    </row>
    <row r="742" spans="1:5" x14ac:dyDescent="0.25">
      <c r="A742" s="2" t="s">
        <v>2225</v>
      </c>
      <c r="B742" s="2" t="s">
        <v>2226</v>
      </c>
      <c r="C742" s="3" t="s">
        <v>2227</v>
      </c>
      <c r="D742" s="3" t="str">
        <f ca="1">IFERROR(__xludf.DUMMYFUNCTION("GOOGLETRANSLATE(A742,""fr"",""en"")"),"butcher")</f>
        <v>butcher</v>
      </c>
      <c r="E742" s="3" t="str">
        <f ca="1">IFERROR(__xludf.DUMMYFUNCTION("GOOGLETRANSLATE(B742,""fr"",""en"")"),"She fills the hole in the wall with plaster.")</f>
        <v>She fills the hole in the wall with plaster.</v>
      </c>
    </row>
    <row r="743" spans="1:5" x14ac:dyDescent="0.25">
      <c r="A743" s="2" t="s">
        <v>2228</v>
      </c>
      <c r="B743" s="2" t="s">
        <v>2229</v>
      </c>
      <c r="C743" s="3" t="s">
        <v>2230</v>
      </c>
      <c r="D743" s="3" t="str">
        <f ca="1">IFERROR(__xludf.DUMMYFUNCTION("GOOGLETRANSLATE(A743,""fr"",""en"")"),"melt")</f>
        <v>melt</v>
      </c>
      <c r="E743" s="3" t="str">
        <f ca="1">IFERROR(__xludf.DUMMYFUNCTION("GOOGLETRANSLATE(B743,""fr"",""en"")"),"They melt the chocolate to make a fondue.")</f>
        <v>They melt the chocolate to make a fondue.</v>
      </c>
    </row>
    <row r="744" spans="1:5" x14ac:dyDescent="0.25">
      <c r="A744" s="2" t="s">
        <v>2231</v>
      </c>
      <c r="B744" s="2" t="s">
        <v>2232</v>
      </c>
      <c r="C744" s="3" t="s">
        <v>2233</v>
      </c>
      <c r="D744" s="3" t="str">
        <f ca="1">IFERROR(__xludf.DUMMYFUNCTION("GOOGLETRANSLATE(A744,""fr"",""en"")"),"redeem")</f>
        <v>redeem</v>
      </c>
      <c r="E744" s="3" t="str">
        <f ca="1">IFERROR(__xludf.DUMMYFUNCTION("GOOGLETRANSLATE(B744,""fr"",""en"")"),"We buy the competing company.")</f>
        <v>We buy the competing company.</v>
      </c>
    </row>
    <row r="745" spans="1:5" x14ac:dyDescent="0.25">
      <c r="A745" s="2" t="s">
        <v>2234</v>
      </c>
      <c r="B745" s="2" t="s">
        <v>2235</v>
      </c>
      <c r="C745" s="3" t="s">
        <v>2236</v>
      </c>
      <c r="D745" s="3" t="str">
        <f ca="1">IFERROR(__xludf.DUMMYFUNCTION("GOOGLETRANSLATE(A745,""fr"",""en"")"),"weigh")</f>
        <v>weigh</v>
      </c>
      <c r="E745" s="3" t="str">
        <f ca="1">IFERROR(__xludf.DUMMYFUNCTION("GOOGLETRANSLATE(B745,""fr"",""en"")"),"She weighs the ingredients before cooking.")</f>
        <v>She weighs the ingredients before cooking.</v>
      </c>
    </row>
    <row r="746" spans="1:5" x14ac:dyDescent="0.25">
      <c r="A746" s="2" t="s">
        <v>2237</v>
      </c>
      <c r="B746" s="2" t="s">
        <v>2238</v>
      </c>
      <c r="C746" s="3" t="s">
        <v>2239</v>
      </c>
      <c r="D746" s="3" t="str">
        <f ca="1">IFERROR(__xludf.DUMMYFUNCTION("GOOGLETRANSLATE(A746,""fr"",""en"")"),"unblock")</f>
        <v>unblock</v>
      </c>
      <c r="E746" s="3" t="str">
        <f ca="1">IFERROR(__xludf.DUMMYFUNCTION("GOOGLETRANSLATE(B746,""fr"",""en"")"),"They unclog the clogged sink.")</f>
        <v>They unclog the clogged sink.</v>
      </c>
    </row>
    <row r="747" spans="1:5" x14ac:dyDescent="0.25">
      <c r="A747" s="2" t="s">
        <v>2240</v>
      </c>
      <c r="B747" s="2" t="s">
        <v>2241</v>
      </c>
      <c r="C747" s="3" t="s">
        <v>2242</v>
      </c>
      <c r="D747" s="3" t="str">
        <f ca="1">IFERROR(__xludf.DUMMYFUNCTION("GOOGLETRANSLATE(A747,""fr"",""en"")"),"amplify")</f>
        <v>amplify</v>
      </c>
      <c r="E747" s="3" t="str">
        <f ca="1">IFERROR(__xludf.DUMMYFUNCTION("GOOGLETRANSLATE(B747,""fr"",""en"")"),"We amplify the sound so everyone can hear.")</f>
        <v>We amplify the sound so everyone can hear.</v>
      </c>
    </row>
    <row r="748" spans="1:5" x14ac:dyDescent="0.25">
      <c r="A748" s="2" t="s">
        <v>2243</v>
      </c>
      <c r="B748" s="2" t="s">
        <v>2244</v>
      </c>
      <c r="C748" s="3" t="s">
        <v>2245</v>
      </c>
      <c r="D748" s="3" t="str">
        <f ca="1">IFERROR(__xludf.DUMMYFUNCTION("GOOGLETRANSLATE(A748,""fr"",""en"")"),"dissolve")</f>
        <v>dissolve</v>
      </c>
      <c r="E748" s="3" t="str">
        <f ca="1">IFERROR(__xludf.DUMMYFUNCTION("GOOGLETRANSLATE(B748,""fr"",""en"")"),"She dissolves the sugar in hot water.")</f>
        <v>She dissolves the sugar in hot water.</v>
      </c>
    </row>
    <row r="749" spans="1:5" x14ac:dyDescent="0.25">
      <c r="A749" s="2" t="s">
        <v>2246</v>
      </c>
      <c r="B749" s="2" t="s">
        <v>2247</v>
      </c>
      <c r="C749" s="3" t="s">
        <v>2248</v>
      </c>
      <c r="D749" s="3" t="str">
        <f ca="1">IFERROR(__xludf.DUMMYFUNCTION("GOOGLETRANSLATE(A749,""fr"",""en"")"),"connect")</f>
        <v>connect</v>
      </c>
      <c r="E749" s="3" t="str">
        <f ca="1">IFERROR(__xludf.DUMMYFUNCTION("GOOGLETRANSLATE(B749,""fr"",""en"")"),"They connect the pipes to repair the leak.")</f>
        <v>They connect the pipes to repair the leak.</v>
      </c>
    </row>
    <row r="750" spans="1:5" x14ac:dyDescent="0.25">
      <c r="A750" s="2" t="s">
        <v>2249</v>
      </c>
      <c r="B750" s="2" t="s">
        <v>2250</v>
      </c>
      <c r="C750" s="3" t="s">
        <v>2251</v>
      </c>
      <c r="D750" s="3" t="str">
        <f ca="1">IFERROR(__xludf.DUMMYFUNCTION("GOOGLETRANSLATE(A750,""fr"",""en"")"),"to move back")</f>
        <v>to move back</v>
      </c>
      <c r="E750" s="3" t="str">
        <f ca="1">IFERROR(__xludf.DUMMYFUNCTION("GOOGLETRANSLATE(B750,""fr"",""en"")"),"We shrink from adversity.")</f>
        <v>We shrink from adversity.</v>
      </c>
    </row>
    <row r="751" spans="1:5" x14ac:dyDescent="0.25">
      <c r="A751" s="2" t="s">
        <v>2252</v>
      </c>
      <c r="B751" s="2" t="s">
        <v>2253</v>
      </c>
      <c r="C751" s="3" t="s">
        <v>2254</v>
      </c>
      <c r="D751" s="3" t="str">
        <f ca="1">IFERROR(__xludf.DUMMYFUNCTION("GOOGLETRANSLATE(A751,""fr"",""en"")"),"to reassure")</f>
        <v>to reassure</v>
      </c>
      <c r="E751" s="3" t="str">
        <f ca="1">IFERROR(__xludf.DUMMYFUNCTION("GOOGLETRANSLATE(B751,""fr"",""en"")"),"He reassures his worried friend.")</f>
        <v>He reassures his worried friend.</v>
      </c>
    </row>
    <row r="752" spans="1:5" x14ac:dyDescent="0.25">
      <c r="A752" s="2" t="s">
        <v>2255</v>
      </c>
      <c r="B752" s="2" t="s">
        <v>2256</v>
      </c>
      <c r="C752" s="3" t="s">
        <v>2257</v>
      </c>
      <c r="D752" s="3" t="str">
        <f ca="1">IFERROR(__xludf.DUMMYFUNCTION("GOOGLETRANSLATE(A752,""fr"",""en"")"),"climb")</f>
        <v>climb</v>
      </c>
      <c r="E752" s="3" t="str">
        <f ca="1">IFERROR(__xludf.DUMMYFUNCTION("GOOGLETRANSLATE(B752,""fr"",""en"")"),"She climbs to the top of the mountain.")</f>
        <v>She climbs to the top of the mountain.</v>
      </c>
    </row>
    <row r="753" spans="1:5" x14ac:dyDescent="0.25">
      <c r="A753" s="2" t="s">
        <v>2258</v>
      </c>
      <c r="B753" s="2" t="s">
        <v>2259</v>
      </c>
      <c r="C753" s="3" t="s">
        <v>2260</v>
      </c>
      <c r="D753" s="3" t="str">
        <f ca="1">IFERROR(__xludf.DUMMYFUNCTION("GOOGLETRANSLATE(A753,""fr"",""en"")"),"bury")</f>
        <v>bury</v>
      </c>
      <c r="E753" s="3" t="str">
        <f ca="1">IFERROR(__xludf.DUMMYFUNCTION("GOOGLETRANSLATE(B753,""fr"",""en"")"),"They bury a treasure in the garden.")</f>
        <v>They bury a treasure in the garden.</v>
      </c>
    </row>
    <row r="754" spans="1:5" x14ac:dyDescent="0.25">
      <c r="A754" s="2" t="s">
        <v>2261</v>
      </c>
      <c r="B754" s="2" t="s">
        <v>2262</v>
      </c>
      <c r="C754" s="3" t="s">
        <v>2263</v>
      </c>
      <c r="D754" s="3" t="str">
        <f ca="1">IFERROR(__xludf.DUMMYFUNCTION("GOOGLETRANSLATE(A754,""fr"",""en"")"),"expel")</f>
        <v>expel</v>
      </c>
      <c r="E754" s="3" t="str">
        <f ca="1">IFERROR(__xludf.DUMMYFUNCTION("GOOGLETRANSLATE(B754,""fr"",""en"")"),"We evict trespassers from the property.")</f>
        <v>We evict trespassers from the property.</v>
      </c>
    </row>
    <row r="755" spans="1:5" x14ac:dyDescent="0.25">
      <c r="A755" s="2" t="s">
        <v>2264</v>
      </c>
      <c r="B755" s="2" t="s">
        <v>2265</v>
      </c>
      <c r="C755" s="3" t="s">
        <v>2266</v>
      </c>
      <c r="D755" s="3" t="str">
        <f ca="1">IFERROR(__xludf.DUMMYFUNCTION("GOOGLETRANSLATE(A755,""fr"",""en"")"),"doubt")</f>
        <v>doubt</v>
      </c>
      <c r="E755" s="3" t="str">
        <f ca="1">IFERROR(__xludf.DUMMYFUNCTION("GOOGLETRANSLATE(B755,""fr"",""en"")"),"He doubts the veracity of his claims.")</f>
        <v>He doubts the veracity of his claims.</v>
      </c>
    </row>
    <row r="756" spans="1:5" x14ac:dyDescent="0.25">
      <c r="A756" s="2" t="s">
        <v>2267</v>
      </c>
      <c r="B756" s="2" t="s">
        <v>2268</v>
      </c>
      <c r="C756" s="3" t="s">
        <v>2269</v>
      </c>
      <c r="D756" s="3" t="str">
        <f ca="1">IFERROR(__xludf.DUMMYFUNCTION("GOOGLETRANSLATE(A756,""fr"",""en"")"),"spin")</f>
        <v>spin</v>
      </c>
      <c r="E756" s="3" t="str">
        <f ca="1">IFERROR(__xludf.DUMMYFUNCTION("GOOGLETRANSLATE(B756,""fr"",""en"")"),"She speeds down the highway.")</f>
        <v>She speeds down the highway.</v>
      </c>
    </row>
    <row r="757" spans="1:5" x14ac:dyDescent="0.25">
      <c r="A757" s="2" t="s">
        <v>2270</v>
      </c>
      <c r="B757" s="2" t="s">
        <v>2271</v>
      </c>
      <c r="C757" s="3" t="s">
        <v>2272</v>
      </c>
      <c r="D757" s="3" t="str">
        <f ca="1">IFERROR(__xludf.DUMMYFUNCTION("GOOGLETRANSLATE(A757,""fr"",""en"")"),"to stop")</f>
        <v>to stop</v>
      </c>
      <c r="E757" s="3" t="str">
        <f ca="1">IFERROR(__xludf.DUMMYFUNCTION("GOOGLETRANSLATE(B757,""fr"",""en"")"),"They stop the spread of the disease.")</f>
        <v>They stop the spread of the disease.</v>
      </c>
    </row>
    <row r="758" spans="1:5" x14ac:dyDescent="0.25">
      <c r="A758" s="2" t="s">
        <v>2273</v>
      </c>
      <c r="B758" s="2" t="s">
        <v>2274</v>
      </c>
      <c r="C758" s="3" t="s">
        <v>2275</v>
      </c>
      <c r="D758" s="3" t="str">
        <f ca="1">IFERROR(__xludf.DUMMYFUNCTION("GOOGLETRANSLATE(A758,""fr"",""en"")"),"regret")</f>
        <v>regret</v>
      </c>
      <c r="E758" s="3" t="str">
        <f ca="1">IFERROR(__xludf.DUMMYFUNCTION("GOOGLETRANSLATE(B758,""fr"",""en"")"),"We regret our hasty decision.")</f>
        <v>We regret our hasty decision.</v>
      </c>
    </row>
    <row r="759" spans="1:5" x14ac:dyDescent="0.25">
      <c r="A759" s="2" t="s">
        <v>2276</v>
      </c>
      <c r="B759" s="2" t="s">
        <v>2277</v>
      </c>
      <c r="C759" s="3" t="s">
        <v>2278</v>
      </c>
      <c r="D759" s="3" t="str">
        <f ca="1">IFERROR(__xludf.DUMMYFUNCTION("GOOGLETRANSLATE(A759,""fr"",""en"")"),"result")</f>
        <v>result</v>
      </c>
      <c r="E759" s="3" t="str">
        <f ca="1">IFERROR(__xludf.DUMMYFUNCTION("GOOGLETRANSLATE(B759,""fr"",""en"")"),"It is the result of our combined efforts.")</f>
        <v>It is the result of our combined efforts.</v>
      </c>
    </row>
    <row r="760" spans="1:5" x14ac:dyDescent="0.25">
      <c r="A760" s="2" t="s">
        <v>2279</v>
      </c>
      <c r="B760" s="2" t="s">
        <v>2280</v>
      </c>
      <c r="C760" s="3" t="s">
        <v>2281</v>
      </c>
      <c r="D760" s="3" t="str">
        <f ca="1">IFERROR(__xludf.DUMMYFUNCTION("GOOGLETRANSLATE(A760,""fr"",""en"")"),"govern")</f>
        <v>govern</v>
      </c>
      <c r="E760" s="3" t="str">
        <f ca="1">IFERROR(__xludf.DUMMYFUNCTION("GOOGLETRANSLATE(B760,""fr"",""en"")"),"She governs the country wisely.")</f>
        <v>She governs the country wisely.</v>
      </c>
    </row>
    <row r="761" spans="1:5" x14ac:dyDescent="0.25">
      <c r="A761" s="2" t="s">
        <v>2282</v>
      </c>
      <c r="B761" s="2" t="s">
        <v>2283</v>
      </c>
      <c r="C761" s="3" t="s">
        <v>2284</v>
      </c>
      <c r="D761" s="3" t="str">
        <f ca="1">IFERROR(__xludf.DUMMYFUNCTION("GOOGLETRANSLATE(A761,""fr"",""en"")"),"motivate")</f>
        <v>motivate</v>
      </c>
      <c r="E761" s="3" t="str">
        <f ca="1">IFERROR(__xludf.DUMMYFUNCTION("GOOGLETRANSLATE(B761,""fr"",""en"")"),"They motivate their employees with rewards.")</f>
        <v>They motivate their employees with rewards.</v>
      </c>
    </row>
    <row r="762" spans="1:5" x14ac:dyDescent="0.25">
      <c r="A762" s="2" t="s">
        <v>2285</v>
      </c>
      <c r="B762" s="2" t="s">
        <v>2286</v>
      </c>
      <c r="C762" s="3" t="s">
        <v>2287</v>
      </c>
      <c r="D762" s="3" t="str">
        <f ca="1">IFERROR(__xludf.DUMMYFUNCTION("GOOGLETRANSLATE(A762,""fr"",""en"")"),"to sanction")</f>
        <v>to sanction</v>
      </c>
      <c r="E762" s="3" t="str">
        <f ca="1">IFERROR(__xludf.DUMMYFUNCTION("GOOGLETRANSLATE(B762,""fr"",""en"")"),"We punish those who break the rules.")</f>
        <v>We punish those who break the rules.</v>
      </c>
    </row>
    <row r="763" spans="1:5" x14ac:dyDescent="0.25">
      <c r="A763" s="2" t="s">
        <v>2288</v>
      </c>
      <c r="B763" s="2" t="s">
        <v>2289</v>
      </c>
      <c r="C763" s="3" t="s">
        <v>2290</v>
      </c>
      <c r="D763" s="3" t="str">
        <f ca="1">IFERROR(__xludf.DUMMYFUNCTION("GOOGLETRANSLATE(A763,""fr"",""en"")"),"spoil")</f>
        <v>spoil</v>
      </c>
      <c r="E763" s="3" t="str">
        <f ca="1">IFERROR(__xludf.DUMMYFUNCTION("GOOGLETRANSLATE(B763,""fr"",""en"")"),"He spoils the surprise by revealing the secret.")</f>
        <v>He spoils the surprise by revealing the secret.</v>
      </c>
    </row>
    <row r="764" spans="1:5" x14ac:dyDescent="0.25">
      <c r="A764" s="2" t="s">
        <v>2291</v>
      </c>
      <c r="B764" s="2" t="s">
        <v>2292</v>
      </c>
      <c r="C764" s="3" t="s">
        <v>2293</v>
      </c>
      <c r="D764" s="3" t="str">
        <f ca="1">IFERROR(__xludf.DUMMYFUNCTION("GOOGLETRANSLATE(A764,""fr"",""en"")"),"project")</f>
        <v>project</v>
      </c>
      <c r="E764" s="3" t="str">
        <f ca="1">IFERROR(__xludf.DUMMYFUNCTION("GOOGLETRANSLATE(B764,""fr"",""en"")"),"She plans to travel to Asia next summer.")</f>
        <v>She plans to travel to Asia next summer.</v>
      </c>
    </row>
    <row r="765" spans="1:5" x14ac:dyDescent="0.25">
      <c r="A765" s="2" t="s">
        <v>2294</v>
      </c>
      <c r="B765" s="2" t="s">
        <v>2295</v>
      </c>
      <c r="C765" s="3" t="s">
        <v>2296</v>
      </c>
      <c r="D765" s="3" t="str">
        <f ca="1">IFERROR(__xludf.DUMMYFUNCTION("GOOGLETRANSLATE(A765,""fr"",""en"")"),"accumulate")</f>
        <v>accumulate</v>
      </c>
      <c r="E765" s="3" t="str">
        <f ca="1">IFERROR(__xludf.DUMMYFUNCTION("GOOGLETRANSLATE(B765,""fr"",""en"")"),"They accumulate loyalty points through their purchases.")</f>
        <v>They accumulate loyalty points through their purchases.</v>
      </c>
    </row>
    <row r="766" spans="1:5" x14ac:dyDescent="0.25">
      <c r="A766" s="2" t="s">
        <v>2297</v>
      </c>
      <c r="B766" s="2" t="s">
        <v>2298</v>
      </c>
      <c r="C766" s="3" t="s">
        <v>2299</v>
      </c>
      <c r="D766" s="3" t="str">
        <f ca="1">IFERROR(__xludf.DUMMYFUNCTION("GOOGLETRANSLATE(A766,""fr"",""en"")"),"to pierce")</f>
        <v>to pierce</v>
      </c>
      <c r="E766" s="3" t="str">
        <f ca="1">IFERROR(__xludf.DUMMYFUNCTION("GOOGLETRANSLATE(B766,""fr"",""en"")"),"We drill a hole in the wall to install a shelf.")</f>
        <v>We drill a hole in the wall to install a shelf.</v>
      </c>
    </row>
    <row r="767" spans="1:5" x14ac:dyDescent="0.25">
      <c r="A767" s="2" t="s">
        <v>2300</v>
      </c>
      <c r="B767" s="2" t="s">
        <v>2301</v>
      </c>
      <c r="C767" s="3" t="s">
        <v>2302</v>
      </c>
      <c r="D767" s="3" t="str">
        <f ca="1">IFERROR(__xludf.DUMMYFUNCTION("GOOGLETRANSLATE(A767,""fr"",""en"")"),"swallow")</f>
        <v>swallow</v>
      </c>
      <c r="E767" s="3" t="str">
        <f ca="1">IFERROR(__xludf.DUMMYFUNCTION("GOOGLETRANSLATE(B767,""fr"",""en"")"),"She swallows her medicine with water.")</f>
        <v>She swallows her medicine with water.</v>
      </c>
    </row>
    <row r="768" spans="1:5" x14ac:dyDescent="0.25">
      <c r="A768" s="2" t="s">
        <v>2303</v>
      </c>
      <c r="B768" s="2" t="s">
        <v>2304</v>
      </c>
      <c r="C768" s="3" t="s">
        <v>2305</v>
      </c>
      <c r="D768" s="3" t="str">
        <f ca="1">IFERROR(__xludf.DUMMYFUNCTION("GOOGLETRANSLATE(A768,""fr"",""en"")"),"lock")</f>
        <v>lock</v>
      </c>
      <c r="E768" s="3" t="str">
        <f ca="1">IFERROR(__xludf.DUMMYFUNCTION("GOOGLETRANSLATE(B768,""fr"",""en"")"),"They lock the door before leaving.")</f>
        <v>They lock the door before leaving.</v>
      </c>
    </row>
    <row r="769" spans="1:5" x14ac:dyDescent="0.25">
      <c r="A769" s="2" t="s">
        <v>2306</v>
      </c>
      <c r="B769" s="2" t="s">
        <v>2307</v>
      </c>
      <c r="C769" s="3" t="s">
        <v>2308</v>
      </c>
      <c r="D769" s="3" t="str">
        <f ca="1">IFERROR(__xludf.DUMMYFUNCTION("GOOGLETRANSLATE(A769,""fr"",""en"")"),"hide")</f>
        <v>hide</v>
      </c>
      <c r="E769" s="3" t="str">
        <f ca="1">IFERROR(__xludf.DUMMYFUNCTION("GOOGLETRANSLATE(B769,""fr"",""en"")"),"We hide our emotions so as not to worry others.")</f>
        <v>We hide our emotions so as not to worry others.</v>
      </c>
    </row>
    <row r="770" spans="1:5" x14ac:dyDescent="0.25">
      <c r="A770" s="2" t="s">
        <v>2309</v>
      </c>
      <c r="B770" s="2" t="s">
        <v>2310</v>
      </c>
      <c r="C770" s="3" t="s">
        <v>2311</v>
      </c>
      <c r="D770" s="3" t="str">
        <f ca="1">IFERROR(__xludf.DUMMYFUNCTION("GOOGLETRANSLATE(A770,""fr"",""en"")"),"persuade")</f>
        <v>persuade</v>
      </c>
      <c r="E770" s="3" t="str">
        <f ca="1">IFERROR(__xludf.DUMMYFUNCTION("GOOGLETRANSLATE(B770,""fr"",""en"")"),"He persuades the jury of his sincerity.")</f>
        <v>He persuades the jury of his sincerity.</v>
      </c>
    </row>
    <row r="771" spans="1:5" x14ac:dyDescent="0.25">
      <c r="A771" s="2" t="s">
        <v>2312</v>
      </c>
      <c r="B771" s="2" t="s">
        <v>2313</v>
      </c>
      <c r="C771" s="3" t="s">
        <v>2314</v>
      </c>
      <c r="D771" s="3" t="str">
        <f ca="1">IFERROR(__xludf.DUMMYFUNCTION("GOOGLETRANSLATE(A771,""fr"",""en"")"),"merge")</f>
        <v>merge</v>
      </c>
      <c r="E771" s="3" t="str">
        <f ca="1">IFERROR(__xludf.DUMMYFUNCTION("GOOGLETRANSLATE(B771,""fr"",""en"")"),"It merges the two companies to create an industrial giant.")</f>
        <v>It merges the two companies to create an industrial giant.</v>
      </c>
    </row>
    <row r="772" spans="1:5" x14ac:dyDescent="0.25">
      <c r="A772" s="2" t="s">
        <v>2315</v>
      </c>
      <c r="B772" s="2" t="s">
        <v>2316</v>
      </c>
      <c r="C772" s="3" t="s">
        <v>2317</v>
      </c>
      <c r="D772" s="3" t="str">
        <f ca="1">IFERROR(__xludf.DUMMYFUNCTION("GOOGLETRANSLATE(A772,""fr"",""en"")"),"neglect")</f>
        <v>neglect</v>
      </c>
      <c r="E772" s="3" t="str">
        <f ca="1">IFERROR(__xludf.DUMMYFUNCTION("GOOGLETRANSLATE(B772,""fr"",""en"")"),"They ignore the warnings and continue.")</f>
        <v>They ignore the warnings and continue.</v>
      </c>
    </row>
    <row r="773" spans="1:5" x14ac:dyDescent="0.25">
      <c r="A773" s="2" t="s">
        <v>2318</v>
      </c>
      <c r="B773" s="2" t="s">
        <v>2319</v>
      </c>
      <c r="C773" s="3" t="s">
        <v>2320</v>
      </c>
      <c r="D773" s="3" t="str">
        <f ca="1">IFERROR(__xludf.DUMMYFUNCTION("GOOGLETRANSLATE(A773,""fr"",""en"")"),"rectify")</f>
        <v>rectify</v>
      </c>
      <c r="E773" s="3" t="str">
        <f ca="1">IFERROR(__xludf.DUMMYFUNCTION("GOOGLETRANSLATE(B773,""fr"",""en"")"),"We correct the errors in the final report.")</f>
        <v>We correct the errors in the final report.</v>
      </c>
    </row>
    <row r="774" spans="1:5" x14ac:dyDescent="0.25">
      <c r="A774" s="2" t="s">
        <v>2321</v>
      </c>
      <c r="B774" s="2" t="s">
        <v>2322</v>
      </c>
      <c r="C774" s="3" t="s">
        <v>2323</v>
      </c>
      <c r="D774" s="3" t="str">
        <f ca="1">IFERROR(__xludf.DUMMYFUNCTION("GOOGLETRANSLATE(A774,""fr"",""en"")"),"to inform")</f>
        <v>to inform</v>
      </c>
      <c r="E774" s="3" t="str">
        <f ca="1">IFERROR(__xludf.DUMMYFUNCTION("GOOGLETRANSLATE(B774,""fr"",""en"")"),"He informs new arrivals about the procedures.")</f>
        <v>He informs new arrivals about the procedures.</v>
      </c>
    </row>
    <row r="775" spans="1:5" x14ac:dyDescent="0.25">
      <c r="A775" s="2" t="s">
        <v>2324</v>
      </c>
      <c r="B775" s="2" t="s">
        <v>2325</v>
      </c>
      <c r="C775" s="3" t="s">
        <v>2326</v>
      </c>
      <c r="D775" s="3" t="str">
        <f ca="1">IFERROR(__xludf.DUMMYFUNCTION("GOOGLETRANSLATE(A775,""fr"",""en"")"),"initiate")</f>
        <v>initiate</v>
      </c>
      <c r="E775" s="3" t="str">
        <f ca="1">IFERROR(__xludf.DUMMYFUNCTION("GOOGLETRANSLATE(B775,""fr"",""en"")"),"She initiates the project from the beginning.")</f>
        <v>She initiates the project from the beginning.</v>
      </c>
    </row>
    <row r="776" spans="1:5" x14ac:dyDescent="0.25">
      <c r="A776" s="2" t="s">
        <v>2327</v>
      </c>
      <c r="B776" s="2" t="s">
        <v>2328</v>
      </c>
      <c r="C776" s="3" t="s">
        <v>2329</v>
      </c>
      <c r="D776" s="3" t="str">
        <f ca="1">IFERROR(__xludf.DUMMYFUNCTION("GOOGLETRANSLATE(A776,""fr"",""en"")"),"to market")</f>
        <v>to market</v>
      </c>
      <c r="E776" s="3" t="str">
        <f ca="1">IFERROR(__xludf.DUMMYFUNCTION("GOOGLETRANSLATE(B776,""fr"",""en"")"),"They market their product successfully.")</f>
        <v>They market their product successfully.</v>
      </c>
    </row>
    <row r="777" spans="1:5" x14ac:dyDescent="0.25">
      <c r="A777" s="2" t="s">
        <v>2330</v>
      </c>
      <c r="B777" s="2" t="s">
        <v>2331</v>
      </c>
      <c r="C777" s="3" t="s">
        <v>2332</v>
      </c>
      <c r="D777" s="3" t="str">
        <f ca="1">IFERROR(__xludf.DUMMYFUNCTION("GOOGLETRANSLATE(A777,""fr"",""en"")"),"to record")</f>
        <v>to record</v>
      </c>
      <c r="E777" s="3" t="str">
        <f ca="1">IFERROR(__xludf.DUMMYFUNCTION("GOOGLETRANSLATE(B777,""fr"",""en"")"),"We log all data into a file.")</f>
        <v>We log all data into a file.</v>
      </c>
    </row>
    <row r="778" spans="1:5" x14ac:dyDescent="0.25">
      <c r="A778" s="2" t="s">
        <v>2333</v>
      </c>
      <c r="B778" s="2" t="s">
        <v>2334</v>
      </c>
      <c r="C778" s="3" t="s">
        <v>2335</v>
      </c>
      <c r="D778" s="3" t="str">
        <f ca="1">IFERROR(__xludf.DUMMYFUNCTION("GOOGLETRANSLATE(A778,""fr"",""en"")"),"consent")</f>
        <v>consent</v>
      </c>
      <c r="E778" s="3" t="str">
        <f ca="1">IFERROR(__xludf.DUMMYFUNCTION("GOOGLETRANSLATE(B778,""fr"",""en"")"),"He consents to participate in the study.")</f>
        <v>He consents to participate in the study.</v>
      </c>
    </row>
    <row r="779" spans="1:5" x14ac:dyDescent="0.25">
      <c r="A779" s="2" t="s">
        <v>2336</v>
      </c>
      <c r="B779" s="2" t="s">
        <v>2337</v>
      </c>
      <c r="C779" s="3" t="s">
        <v>2338</v>
      </c>
      <c r="D779" s="3" t="str">
        <f ca="1">IFERROR(__xludf.DUMMYFUNCTION("GOOGLETRANSLATE(A779,""fr"",""en"")"),"bend")</f>
        <v>bend</v>
      </c>
      <c r="E779" s="3" t="str">
        <f ca="1">IFERROR(__xludf.DUMMYFUNCTION("GOOGLETRANSLATE(B779,""fr"",""en"")"),"She folds her clothes before putting them away.")</f>
        <v>She folds her clothes before putting them away.</v>
      </c>
    </row>
    <row r="780" spans="1:5" x14ac:dyDescent="0.25">
      <c r="A780" s="2" t="s">
        <v>2339</v>
      </c>
      <c r="B780" s="2" t="s">
        <v>2340</v>
      </c>
      <c r="C780" s="3" t="s">
        <v>2341</v>
      </c>
      <c r="D780" s="3" t="str">
        <f ca="1">IFERROR(__xludf.DUMMYFUNCTION("GOOGLETRANSLATE(A780,""fr"",""en"")"),"weld")</f>
        <v>weld</v>
      </c>
      <c r="E780" s="3" t="str">
        <f ca="1">IFERROR(__xludf.DUMMYFUNCTION("GOOGLETRANSLATE(B780,""fr"",""en"")"),"They weld the metal parts together.")</f>
        <v>They weld the metal parts together.</v>
      </c>
    </row>
    <row r="781" spans="1:5" x14ac:dyDescent="0.25">
      <c r="A781" s="2" t="s">
        <v>2342</v>
      </c>
      <c r="B781" s="2" t="s">
        <v>2343</v>
      </c>
      <c r="C781" s="3" t="s">
        <v>2344</v>
      </c>
      <c r="D781" s="3" t="str">
        <f ca="1">IFERROR(__xludf.DUMMYFUNCTION("GOOGLETRANSLATE(A781,""fr"",""en"")"),"cut out")</f>
        <v>cut out</v>
      </c>
      <c r="E781" s="3" t="str">
        <f ca="1">IFERROR(__xludf.DUMMYFUNCTION("GOOGLETRANSLATE(B781,""fr"",""en"")"),"We cut the vegetables for the soup.")</f>
        <v>We cut the vegetables for the soup.</v>
      </c>
    </row>
    <row r="782" spans="1:5" x14ac:dyDescent="0.25">
      <c r="A782" s="2" t="s">
        <v>2345</v>
      </c>
      <c r="B782" s="2" t="s">
        <v>2346</v>
      </c>
      <c r="C782" s="3" t="s">
        <v>2347</v>
      </c>
      <c r="D782" s="3" t="str">
        <f ca="1">IFERROR(__xludf.DUMMYFUNCTION("GOOGLETRANSLATE(A782,""fr"",""en"")"),"supper")</f>
        <v>supper</v>
      </c>
      <c r="E782" s="3" t="str">
        <f ca="1">IFERROR(__xludf.DUMMYFUNCTION("GOOGLETRANSLATE(B782,""fr"",""en"")"),"She's having a late dinner tonight because of work.")</f>
        <v>She's having a late dinner tonight because of work.</v>
      </c>
    </row>
    <row r="783" spans="1:5" x14ac:dyDescent="0.25">
      <c r="A783" s="2" t="s">
        <v>2348</v>
      </c>
      <c r="B783" s="2" t="s">
        <v>2349</v>
      </c>
      <c r="C783" s="3" t="s">
        <v>2350</v>
      </c>
      <c r="D783" s="3" t="str">
        <f ca="1">IFERROR(__xludf.DUMMYFUNCTION("GOOGLETRANSLATE(A783,""fr"",""en"")"),"start")</f>
        <v>start</v>
      </c>
      <c r="E783" s="3" t="str">
        <f ca="1">IFERROR(__xludf.DUMMYFUNCTION("GOOGLETRANSLATE(B783,""fr"",""en"")"),"They start their journey early in the morning.")</f>
        <v>They start their journey early in the morning.</v>
      </c>
    </row>
    <row r="784" spans="1:5" x14ac:dyDescent="0.25">
      <c r="A784" s="2" t="s">
        <v>2351</v>
      </c>
      <c r="B784" s="2" t="s">
        <v>2352</v>
      </c>
      <c r="C784" s="3" t="s">
        <v>2353</v>
      </c>
      <c r="D784" s="3" t="str">
        <f ca="1">IFERROR(__xludf.DUMMYFUNCTION("GOOGLETRANSLATE(A784,""fr"",""en"")"),"serve")</f>
        <v>serve</v>
      </c>
      <c r="E784" s="3" t="str">
        <f ca="1">IFERROR(__xludf.DUMMYFUNCTION("GOOGLETRANSLATE(B784,""fr"",""en"")"),"We serve customers efficiently.")</f>
        <v>We serve customers efficiently.</v>
      </c>
    </row>
    <row r="785" spans="1:5" x14ac:dyDescent="0.25">
      <c r="A785" s="2" t="s">
        <v>2354</v>
      </c>
      <c r="B785" s="2" t="s">
        <v>2355</v>
      </c>
      <c r="C785" s="3" t="s">
        <v>2356</v>
      </c>
      <c r="D785" s="3" t="str">
        <f ca="1">IFERROR(__xludf.DUMMYFUNCTION("GOOGLETRANSLATE(A785,""fr"",""en"")"),"inflict")</f>
        <v>inflict</v>
      </c>
      <c r="E785" s="3" t="str">
        <f ca="1">IFERROR(__xludf.DUMMYFUNCTION("GOOGLETRANSLATE(B785,""fr"",""en"")"),"He imposes a heavy fine for speeding.")</f>
        <v>He imposes a heavy fine for speeding.</v>
      </c>
    </row>
    <row r="786" spans="1:5" x14ac:dyDescent="0.25">
      <c r="A786" s="2" t="s">
        <v>2357</v>
      </c>
      <c r="B786" s="2" t="s">
        <v>2358</v>
      </c>
      <c r="C786" s="3" t="s">
        <v>2359</v>
      </c>
      <c r="D786" s="3" t="str">
        <f ca="1">IFERROR(__xludf.DUMMYFUNCTION("GOOGLETRANSLATE(A786,""fr"",""en"")"),"blame")</f>
        <v>blame</v>
      </c>
      <c r="E786" s="3" t="str">
        <f ca="1">IFERROR(__xludf.DUMMYFUNCTION("GOOGLETRANSLATE(B786,""fr"",""en"")"),"She blames her brother for the mess in the room.")</f>
        <v>She blames her brother for the mess in the room.</v>
      </c>
    </row>
    <row r="787" spans="1:5" x14ac:dyDescent="0.25">
      <c r="A787" s="2" t="s">
        <v>2360</v>
      </c>
      <c r="B787" s="2" t="s">
        <v>2361</v>
      </c>
      <c r="C787" s="3" t="s">
        <v>2362</v>
      </c>
      <c r="D787" s="3" t="str">
        <f ca="1">IFERROR(__xludf.DUMMYFUNCTION("GOOGLETRANSLATE(A787,""fr"",""en"")"),"rethink")</f>
        <v>rethink</v>
      </c>
      <c r="E787" s="3" t="str">
        <f ca="1">IFERROR(__xludf.DUMMYFUNCTION("GOOGLETRANSLATE(B787,""fr"",""en"")"),"They are rethinking their marketing strategy to attract more customers.")</f>
        <v>They are rethinking their marketing strategy to attract more customers.</v>
      </c>
    </row>
    <row r="788" spans="1:5" x14ac:dyDescent="0.25">
      <c r="A788" s="2" t="s">
        <v>2363</v>
      </c>
      <c r="B788" s="2" t="s">
        <v>2364</v>
      </c>
      <c r="C788" s="3" t="s">
        <v>2365</v>
      </c>
      <c r="D788" s="3" t="str">
        <f ca="1">IFERROR(__xludf.DUMMYFUNCTION("GOOGLETRANSLATE(A788,""fr"",""en"")"),"seduce")</f>
        <v>seduce</v>
      </c>
      <c r="E788" s="3" t="str">
        <f ca="1">IFERROR(__xludf.DUMMYFUNCTION("GOOGLETRANSLATE(B788,""fr"",""en"")"),"We are winning over the public with our new campaign.")</f>
        <v>We are winning over the public with our new campaign.</v>
      </c>
    </row>
    <row r="789" spans="1:5" x14ac:dyDescent="0.25">
      <c r="A789" s="2" t="s">
        <v>2366</v>
      </c>
      <c r="B789" s="2" t="s">
        <v>2367</v>
      </c>
      <c r="C789" s="3" t="s">
        <v>2368</v>
      </c>
      <c r="D789" s="3" t="str">
        <f ca="1">IFERROR(__xludf.DUMMYFUNCTION("GOOGLETRANSLATE(A789,""fr"",""en"")"),"finalize")</f>
        <v>finalize</v>
      </c>
      <c r="E789" s="3" t="str">
        <f ca="1">IFERROR(__xludf.DUMMYFUNCTION("GOOGLETRANSLATE(B789,""fr"",""en"")"),"He finalizes his report before the meeting.")</f>
        <v>He finalizes his report before the meeting.</v>
      </c>
    </row>
    <row r="790" spans="1:5" x14ac:dyDescent="0.25">
      <c r="A790" s="2" t="s">
        <v>2369</v>
      </c>
      <c r="B790" s="2" t="s">
        <v>2370</v>
      </c>
      <c r="C790" s="3" t="s">
        <v>2371</v>
      </c>
      <c r="D790" s="3" t="str">
        <f ca="1">IFERROR(__xludf.DUMMYFUNCTION("GOOGLETRANSLATE(A790,""fr"",""en"")"),"tighten")</f>
        <v>tighten</v>
      </c>
      <c r="E790" s="3" t="str">
        <f ca="1">IFERROR(__xludf.DUMMYFUNCTION("GOOGLETRANSLATE(B790,""fr"",""en"")"),"They strengthen ties with their business partners.")</f>
        <v>They strengthen ties with their business partners.</v>
      </c>
    </row>
    <row r="791" spans="1:5" x14ac:dyDescent="0.25">
      <c r="A791" s="2" t="s">
        <v>2372</v>
      </c>
      <c r="B791" s="2" t="s">
        <v>2373</v>
      </c>
      <c r="C791" s="3" t="s">
        <v>2374</v>
      </c>
      <c r="D791" s="3" t="str">
        <f ca="1">IFERROR(__xludf.DUMMYFUNCTION("GOOGLETRANSLATE(A791,""fr"",""en"")"),"sort")</f>
        <v>sort</v>
      </c>
      <c r="E791" s="3" t="str">
        <f ca="1">IFERROR(__xludf.DUMMYFUNCTION("GOOGLETRANSLATE(B791,""fr"",""en"")"),"We sort waste for recycling.")</f>
        <v>We sort waste for recycling.</v>
      </c>
    </row>
    <row r="792" spans="1:5" x14ac:dyDescent="0.25">
      <c r="A792" s="2" t="s">
        <v>2375</v>
      </c>
      <c r="B792" s="2" t="s">
        <v>2376</v>
      </c>
      <c r="C792" s="3" t="s">
        <v>2377</v>
      </c>
      <c r="D792" s="3" t="str">
        <f ca="1">IFERROR(__xludf.DUMMYFUNCTION("GOOGLETRANSLATE(A792,""fr"",""en"")"),"tolerate")</f>
        <v>tolerate</v>
      </c>
      <c r="E792" s="3" t="str">
        <f ca="1">IFERROR(__xludf.DUMMYFUNCTION("GOOGLETRANSLATE(B792,""fr"",""en"")"),"She tolerates opinions different from her own.")</f>
        <v>She tolerates opinions different from her own.</v>
      </c>
    </row>
    <row r="793" spans="1:5" x14ac:dyDescent="0.25">
      <c r="A793" s="2" t="s">
        <v>2378</v>
      </c>
      <c r="B793" s="2" t="s">
        <v>2379</v>
      </c>
      <c r="C793" s="3" t="s">
        <v>2380</v>
      </c>
      <c r="D793" s="3" t="str">
        <f ca="1">IFERROR(__xludf.DUMMYFUNCTION("GOOGLETRANSLATE(A793,""fr"",""en"")"),"to film")</f>
        <v>to film</v>
      </c>
      <c r="E793" s="3" t="str">
        <f ca="1">IFERROR(__xludf.DUMMYFUNCTION("GOOGLETRANSLATE(B793,""fr"",""en"")"),"They filmed the documentary in difficult conditions.")</f>
        <v>They filmed the documentary in difficult conditions.</v>
      </c>
    </row>
    <row r="794" spans="1:5" x14ac:dyDescent="0.25">
      <c r="A794" s="2" t="s">
        <v>2381</v>
      </c>
      <c r="B794" s="2" t="s">
        <v>2382</v>
      </c>
      <c r="C794" s="3" t="s">
        <v>2383</v>
      </c>
      <c r="D794" s="3" t="str">
        <f ca="1">IFERROR(__xludf.DUMMYFUNCTION("GOOGLETRANSLATE(A794,""fr"",""en"")"),"to clarify")</f>
        <v>to clarify</v>
      </c>
      <c r="E794" s="3" t="str">
        <f ca="1">IFERROR(__xludf.DUMMYFUNCTION("GOOGLETRANSLATE(B794,""fr"",""en"")"),"We are clarifying the details of the agreement.")</f>
        <v>We are clarifying the details of the agreement.</v>
      </c>
    </row>
    <row r="795" spans="1:5" x14ac:dyDescent="0.25">
      <c r="A795" s="2" t="s">
        <v>2384</v>
      </c>
      <c r="B795" s="2" t="s">
        <v>2385</v>
      </c>
      <c r="C795" s="3" t="s">
        <v>2386</v>
      </c>
      <c r="D795" s="3" t="str">
        <f ca="1">IFERROR(__xludf.DUMMYFUNCTION("GOOGLETRANSLATE(A795,""fr"",""en"")"),"synchronize")</f>
        <v>synchronize</v>
      </c>
      <c r="E795" s="3" t="str">
        <f ca="1">IFERROR(__xludf.DUMMYFUNCTION("GOOGLETRANSLATE(B795,""fr"",""en"")"),"It synchronizes clocks so they are accurate.")</f>
        <v>It synchronizes clocks so they are accurate.</v>
      </c>
    </row>
    <row r="796" spans="1:5" x14ac:dyDescent="0.25">
      <c r="A796" s="2" t="s">
        <v>2387</v>
      </c>
      <c r="B796" s="2" t="s">
        <v>2388</v>
      </c>
      <c r="C796" s="3" t="s">
        <v>2389</v>
      </c>
      <c r="D796" s="3" t="str">
        <f ca="1">IFERROR(__xludf.DUMMYFUNCTION("GOOGLETRANSLATE(A796,""fr"",""en"")"),"trap")</f>
        <v>trap</v>
      </c>
      <c r="E796" s="3" t="str">
        <f ca="1">IFERROR(__xludf.DUMMYFUNCTION("GOOGLETRANSLATE(B796,""fr"",""en"")"),"She tricks her friends with a well-orchestrated prank.")</f>
        <v>She tricks her friends with a well-orchestrated prank.</v>
      </c>
    </row>
    <row r="797" spans="1:5" x14ac:dyDescent="0.25">
      <c r="A797" s="2" t="s">
        <v>2390</v>
      </c>
      <c r="B797" s="2" t="s">
        <v>2391</v>
      </c>
      <c r="C797" s="3" t="s">
        <v>2392</v>
      </c>
      <c r="D797" s="3" t="str">
        <f ca="1">IFERROR(__xludf.DUMMYFUNCTION("GOOGLETRANSLATE(A797,""fr"",""en"")"),"resign")</f>
        <v>resign</v>
      </c>
      <c r="E797" s="3" t="str">
        <f ca="1">IFERROR(__xludf.DUMMYFUNCTION("GOOGLETRANSLATE(B797,""fr"",""en"")"),"They resign from their positions to explore new opportunities.")</f>
        <v>They resign from their positions to explore new opportunities.</v>
      </c>
    </row>
    <row r="798" spans="1:5" x14ac:dyDescent="0.25">
      <c r="A798" s="2" t="s">
        <v>2393</v>
      </c>
      <c r="B798" s="2" t="s">
        <v>2394</v>
      </c>
      <c r="C798" s="3" t="s">
        <v>2395</v>
      </c>
      <c r="D798" s="3" t="str">
        <f ca="1">IFERROR(__xludf.DUMMYFUNCTION("GOOGLETRANSLATE(A798,""fr"",""en"")"),"harvest")</f>
        <v>harvest</v>
      </c>
      <c r="E798" s="3" t="str">
        <f ca="1">IFERROR(__xludf.DUMMYFUNCTION("GOOGLETRANSLATE(B798,""fr"",""en"")"),"We are reaping the rewards of our hard work.")</f>
        <v>We are reaping the rewards of our hard work.</v>
      </c>
    </row>
    <row r="799" spans="1:5" x14ac:dyDescent="0.25">
      <c r="A799" s="2" t="s">
        <v>2396</v>
      </c>
      <c r="B799" s="2" t="s">
        <v>2397</v>
      </c>
      <c r="C799" s="3" t="s">
        <v>2398</v>
      </c>
      <c r="D799" s="3" t="str">
        <f ca="1">IFERROR(__xludf.DUMMYFUNCTION("GOOGLETRANSLATE(A799,""fr"",""en"")"),"live")</f>
        <v>live</v>
      </c>
      <c r="E799" s="3" t="str">
        <f ca="1">IFERROR(__xludf.DUMMYFUNCTION("GOOGLETRANSLATE(B799,""fr"",""en"")"),"He lives in a small village by the sea.")</f>
        <v>He lives in a small village by the sea.</v>
      </c>
    </row>
    <row r="800" spans="1:5" x14ac:dyDescent="0.25">
      <c r="A800" s="2" t="s">
        <v>2399</v>
      </c>
      <c r="B800" s="2" t="s">
        <v>2400</v>
      </c>
      <c r="C800" s="3" t="s">
        <v>2401</v>
      </c>
      <c r="D800" s="3" t="str">
        <f ca="1">IFERROR(__xludf.DUMMYFUNCTION("GOOGLETRANSLATE(A800,""fr"",""en"")"),"reward")</f>
        <v>reward</v>
      </c>
      <c r="E800" s="3" t="str">
        <f ca="1">IFERROR(__xludf.DUMMYFUNCTION("GOOGLETRANSLATE(B800,""fr"",""en"")"),"It rewards the best students in the class.")</f>
        <v>It rewards the best students in the class.</v>
      </c>
    </row>
    <row r="801" spans="1:5" x14ac:dyDescent="0.25">
      <c r="A801" s="2" t="s">
        <v>2402</v>
      </c>
      <c r="B801" s="2" t="s">
        <v>2403</v>
      </c>
      <c r="C801" s="3" t="s">
        <v>2404</v>
      </c>
      <c r="D801" s="3" t="str">
        <f ca="1">IFERROR(__xludf.DUMMYFUNCTION("GOOGLETRANSLATE(A801,""fr"",""en"")"),"walnut")</f>
        <v>walnut</v>
      </c>
      <c r="E801" s="3" t="str">
        <f ca="1">IFERROR(__xludf.DUMMYFUNCTION("GOOGLETRANSLATE(B801,""fr"",""en"")"),"He tries to drown his worries in alcohol.")</f>
        <v>He tries to drown his worries in alcohol.</v>
      </c>
    </row>
    <row r="802" spans="1:5" x14ac:dyDescent="0.25">
      <c r="A802" s="2" t="s">
        <v>2405</v>
      </c>
      <c r="B802" s="2" t="s">
        <v>2406</v>
      </c>
      <c r="C802" s="3" t="s">
        <v>2407</v>
      </c>
      <c r="D802" s="3" t="str">
        <f ca="1">IFERROR(__xludf.DUMMYFUNCTION("GOOGLETRANSLATE(A802,""fr"",""en"")"),"hide")</f>
        <v>hide</v>
      </c>
      <c r="E802" s="3" t="str">
        <f ca="1">IFERROR(__xludf.DUMMYFUNCTION("GOOGLETRANSLATE(B802,""fr"",""en"")"),"She hides her intentions behind a smile.")</f>
        <v>She hides her intentions behind a smile.</v>
      </c>
    </row>
    <row r="803" spans="1:5" x14ac:dyDescent="0.25">
      <c r="A803" s="2" t="s">
        <v>2408</v>
      </c>
      <c r="B803" s="2" t="s">
        <v>2409</v>
      </c>
      <c r="C803" s="3" t="s">
        <v>2410</v>
      </c>
      <c r="D803" s="3" t="str">
        <f ca="1">IFERROR(__xludf.DUMMYFUNCTION("GOOGLETRANSLATE(A803,""fr"",""en"")"),"to compel")</f>
        <v>to compel</v>
      </c>
      <c r="E803" s="3" t="str">
        <f ca="1">IFERROR(__xludf.DUMMYFUNCTION("GOOGLETRANSLATE(B803,""fr"",""en"")"),"They force him to sign the contract.")</f>
        <v>They force him to sign the contract.</v>
      </c>
    </row>
    <row r="804" spans="1:5" x14ac:dyDescent="0.25">
      <c r="A804" s="2" t="s">
        <v>2411</v>
      </c>
      <c r="B804" s="2" t="s">
        <v>2412</v>
      </c>
      <c r="C804" s="3" t="s">
        <v>2413</v>
      </c>
      <c r="D804" s="3" t="str">
        <f ca="1">IFERROR(__xludf.DUMMYFUNCTION("GOOGLETRANSLATE(A804,""fr"",""en"")"),"to put on")</f>
        <v>to put on</v>
      </c>
      <c r="E804" s="3" t="str">
        <f ca="1">IFERROR(__xludf.DUMMYFUNCTION("GOOGLETRANSLATE(B804,""fr"",""en"")"),"The king puts on his ceremonial clothes.")</f>
        <v>The king puts on his ceremonial clothes.</v>
      </c>
    </row>
    <row r="805" spans="1:5" x14ac:dyDescent="0.25">
      <c r="A805" s="2" t="s">
        <v>2414</v>
      </c>
      <c r="B805" s="2" t="s">
        <v>2415</v>
      </c>
      <c r="C805" s="3" t="s">
        <v>2416</v>
      </c>
      <c r="D805" s="3" t="str">
        <f ca="1">IFERROR(__xludf.DUMMYFUNCTION("GOOGLETRANSLATE(A805,""fr"",""en"")"),"to apprehend")</f>
        <v>to apprehend</v>
      </c>
      <c r="E805" s="3" t="str">
        <f ca="1">IFERROR(__xludf.DUMMYFUNCTION("GOOGLETRANSLATE(B805,""fr"",""en"")"),"She has a poor grasp of the current situation.")</f>
        <v>She has a poor grasp of the current situation.</v>
      </c>
    </row>
    <row r="806" spans="1:5" x14ac:dyDescent="0.25">
      <c r="A806" s="2" t="s">
        <v>2417</v>
      </c>
      <c r="B806" s="2" t="s">
        <v>2418</v>
      </c>
      <c r="C806" s="3" t="s">
        <v>2419</v>
      </c>
      <c r="D806" s="3" t="str">
        <f ca="1">IFERROR(__xludf.DUMMYFUNCTION("GOOGLETRANSLATE(A806,""fr"",""en"")"),"squeeze")</f>
        <v>squeeze</v>
      </c>
      <c r="E806" s="3" t="str">
        <f ca="1">IFERROR(__xludf.DUMMYFUNCTION("GOOGLETRANSLATE(B806,""fr"",""en"")"),"He presses his colleagues to complete the project on time.")</f>
        <v>He presses his colleagues to complete the project on time.</v>
      </c>
    </row>
    <row r="807" spans="1:5" x14ac:dyDescent="0.25">
      <c r="A807" s="2" t="s">
        <v>2420</v>
      </c>
      <c r="B807" s="2" t="s">
        <v>2421</v>
      </c>
      <c r="C807" s="3" t="s">
        <v>2422</v>
      </c>
      <c r="D807" s="3" t="str">
        <f ca="1">IFERROR(__xludf.DUMMYFUNCTION("GOOGLETRANSLATE(A807,""fr"",""en"")"),"subscribe")</f>
        <v>subscribe</v>
      </c>
      <c r="E807" s="3" t="str">
        <f ca="1">IFERROR(__xludf.DUMMYFUNCTION("GOOGLETRANSLATE(B807,""fr"",""en"")"),"They subscribe to a monthly subscription.")</f>
        <v>They subscribe to a monthly subscription.</v>
      </c>
    </row>
    <row r="808" spans="1:5" x14ac:dyDescent="0.25">
      <c r="A808" s="2" t="s">
        <v>2423</v>
      </c>
      <c r="B808" s="2" t="s">
        <v>2424</v>
      </c>
      <c r="C808" s="3" t="s">
        <v>2425</v>
      </c>
      <c r="D808" s="3" t="str">
        <f ca="1">IFERROR(__xludf.DUMMYFUNCTION("GOOGLETRANSLATE(A808,""fr"",""en"")"),"suffice")</f>
        <v>suffice</v>
      </c>
      <c r="E808" s="3" t="str">
        <f ca="1">IFERROR(__xludf.DUMMYFUNCTION("GOOGLETRANSLATE(B808,""fr"",""en"")"),"Will this explanation be enough to dispel your doubts?")</f>
        <v>Will this explanation be enough to dispel your doubts?</v>
      </c>
    </row>
    <row r="809" spans="1:5" x14ac:dyDescent="0.25">
      <c r="A809" s="2" t="s">
        <v>2426</v>
      </c>
      <c r="B809" s="2" t="s">
        <v>2427</v>
      </c>
      <c r="C809" s="3" t="s">
        <v>2428</v>
      </c>
      <c r="D809" s="3" t="str">
        <f ca="1">IFERROR(__xludf.DUMMYFUNCTION("GOOGLETRANSLATE(A809,""fr"",""en"")"),"lock up")</f>
        <v>lock up</v>
      </c>
      <c r="E809" s="3" t="str">
        <f ca="1">IFERROR(__xludf.DUMMYFUNCTION("GOOGLETRANSLATE(B809,""fr"",""en"")"),"He locks the tools in the trunk.")</f>
        <v>He locks the tools in the trunk.</v>
      </c>
    </row>
    <row r="810" spans="1:5" x14ac:dyDescent="0.25">
      <c r="A810" s="2" t="s">
        <v>2429</v>
      </c>
      <c r="B810" s="2" t="s">
        <v>2430</v>
      </c>
      <c r="C810" s="3" t="s">
        <v>2431</v>
      </c>
      <c r="D810" s="3" t="str">
        <f ca="1">IFERROR(__xludf.DUMMYFUNCTION("GOOGLETRANSLATE(A810,""fr"",""en"")"),"sit")</f>
        <v>sit</v>
      </c>
      <c r="E810" s="3" t="str">
        <f ca="1">IFERROR(__xludf.DUMMYFUNCTION("GOOGLETRANSLATE(B810,""fr"",""en"")"),"She sits on the board of directors.")</f>
        <v>She sits on the board of directors.</v>
      </c>
    </row>
    <row r="811" spans="1:5" x14ac:dyDescent="0.25">
      <c r="A811" s="2" t="s">
        <v>2432</v>
      </c>
      <c r="B811" s="2" t="s">
        <v>2433</v>
      </c>
      <c r="C811" s="3" t="s">
        <v>2434</v>
      </c>
      <c r="D811" s="3" t="str">
        <f ca="1">IFERROR(__xludf.DUMMYFUNCTION("GOOGLETRANSLATE(A811,""fr"",""en"")"),"innovate")</f>
        <v>innovate</v>
      </c>
      <c r="E811" s="3" t="str">
        <f ca="1">IFERROR(__xludf.DUMMYFUNCTION("GOOGLETRANSLATE(B811,""fr"",""en"")"),"The company is constantly innovating to remain competitive.")</f>
        <v>The company is constantly innovating to remain competitive.</v>
      </c>
    </row>
    <row r="812" spans="1:5" x14ac:dyDescent="0.25">
      <c r="A812" s="2" t="s">
        <v>2435</v>
      </c>
      <c r="B812" s="2" t="s">
        <v>2436</v>
      </c>
      <c r="C812" s="3" t="s">
        <v>2437</v>
      </c>
      <c r="D812" s="3" t="str">
        <f ca="1">IFERROR(__xludf.DUMMYFUNCTION("GOOGLETRANSLATE(A812,""fr"",""en"")"),"decode")</f>
        <v>decode</v>
      </c>
      <c r="E812" s="3" t="str">
        <f ca="1">IFERROR(__xludf.DUMMYFUNCTION("GOOGLETRANSLATE(B812,""fr"",""en"")"),"He deciphers the complex code.")</f>
        <v>He deciphers the complex code.</v>
      </c>
    </row>
    <row r="813" spans="1:5" x14ac:dyDescent="0.25">
      <c r="A813" s="2" t="s">
        <v>2438</v>
      </c>
      <c r="B813" s="2" t="s">
        <v>2439</v>
      </c>
      <c r="C813" s="3" t="s">
        <v>2440</v>
      </c>
      <c r="D813" s="3" t="str">
        <f ca="1">IFERROR(__xludf.DUMMYFUNCTION("GOOGLETRANSLATE(A813,""fr"",""en"")"),"release")</f>
        <v>release</v>
      </c>
      <c r="E813" s="3" t="str">
        <f ca="1">IFERROR(__xludf.DUMMYFUNCTION("GOOGLETRANSLATE(B813,""fr"",""en"")"),"It releases the pressure after a long day.")</f>
        <v>It releases the pressure after a long day.</v>
      </c>
    </row>
    <row r="814" spans="1:5" x14ac:dyDescent="0.25">
      <c r="A814" s="2" t="s">
        <v>2441</v>
      </c>
      <c r="B814" s="2" t="s">
        <v>2442</v>
      </c>
      <c r="C814" s="3" t="s">
        <v>2443</v>
      </c>
      <c r="D814" s="3" t="str">
        <f ca="1">IFERROR(__xludf.DUMMYFUNCTION("GOOGLETRANSLATE(A814,""fr"",""en"")"),"mean")</f>
        <v>mean</v>
      </c>
      <c r="E814" s="3" t="str">
        <f ca="1">IFERROR(__xludf.DUMMYFUNCTION("GOOGLETRANSLATE(B814,""fr"",""en"")"),"This gesture means a lot to me.")</f>
        <v>This gesture means a lot to me.</v>
      </c>
    </row>
    <row r="815" spans="1:5" x14ac:dyDescent="0.25">
      <c r="A815" s="2" t="s">
        <v>2444</v>
      </c>
      <c r="B815" s="2" t="s">
        <v>2445</v>
      </c>
      <c r="C815" s="3" t="s">
        <v>2446</v>
      </c>
      <c r="D815" s="3" t="str">
        <f ca="1">IFERROR(__xludf.DUMMYFUNCTION("GOOGLETRANSLATE(A815,""fr"",""en"")"),"enhance")</f>
        <v>enhance</v>
      </c>
      <c r="E815" s="3" t="str">
        <f ca="1">IFERROR(__xludf.DUMMYFUNCTION("GOOGLETRANSLATE(B815,""fr"",""en"")"),"They increase the level of security in the company.")</f>
        <v>They increase the level of security in the company.</v>
      </c>
    </row>
    <row r="816" spans="1:5" x14ac:dyDescent="0.25">
      <c r="A816" s="2" t="s">
        <v>2447</v>
      </c>
      <c r="B816" s="2" t="s">
        <v>2448</v>
      </c>
      <c r="C816" s="3" t="s">
        <v>2449</v>
      </c>
      <c r="D816" s="3" t="str">
        <f ca="1">IFERROR(__xludf.DUMMYFUNCTION("GOOGLETRANSLATE(A816,""fr"",""en"")"),"implant")</f>
        <v>implant</v>
      </c>
      <c r="E816" s="3" t="str">
        <f ca="1">IFERROR(__xludf.DUMMYFUNCTION("GOOGLETRANSLATE(B816,""fr"",""en"")"),"We are implementing a new company policy.")</f>
        <v>We are implementing a new company policy.</v>
      </c>
    </row>
    <row r="817" spans="1:5" x14ac:dyDescent="0.25">
      <c r="A817" s="2" t="s">
        <v>2450</v>
      </c>
      <c r="B817" s="2" t="s">
        <v>2451</v>
      </c>
      <c r="C817" s="3" t="s">
        <v>2452</v>
      </c>
      <c r="D817" s="3" t="str">
        <f ca="1">IFERROR(__xludf.DUMMYFUNCTION("GOOGLETRANSLATE(A817,""fr"",""en"")"),"compress")</f>
        <v>compress</v>
      </c>
      <c r="E817" s="3" t="str">
        <f ca="1">IFERROR(__xludf.DUMMYFUNCTION("GOOGLETRANSLATE(B817,""fr"",""en"")"),"It compresses files to save space.")</f>
        <v>It compresses files to save space.</v>
      </c>
    </row>
    <row r="818" spans="1:5" x14ac:dyDescent="0.25">
      <c r="A818" s="2" t="s">
        <v>2453</v>
      </c>
      <c r="B818" s="2" t="s">
        <v>2454</v>
      </c>
      <c r="C818" s="3" t="s">
        <v>2455</v>
      </c>
      <c r="D818" s="3" t="str">
        <f ca="1">IFERROR(__xludf.DUMMYFUNCTION("GOOGLETRANSLATE(A818,""fr"",""en"")"),"promise")</f>
        <v>promise</v>
      </c>
      <c r="E818" s="3" t="str">
        <f ca="1">IFERROR(__xludf.DUMMYFUNCTION("GOOGLETRANSLATE(B818,""fr"",""en"")"),"She promises to come visit us.")</f>
        <v>She promises to come visit us.</v>
      </c>
    </row>
    <row r="819" spans="1:5" x14ac:dyDescent="0.25">
      <c r="A819" s="2" t="s">
        <v>2456</v>
      </c>
      <c r="B819" s="2" t="s">
        <v>2457</v>
      </c>
      <c r="C819" s="3" t="s">
        <v>2458</v>
      </c>
      <c r="D819" s="3" t="str">
        <f ca="1">IFERROR(__xludf.DUMMYFUNCTION("GOOGLETRANSLATE(A819,""fr"",""en"")"),"dispel")</f>
        <v>dispel</v>
      </c>
      <c r="E819" s="3" t="str">
        <f ca="1">IFERROR(__xludf.DUMMYFUNCTION("GOOGLETRANSLATE(B819,""fr"",""en"")"),"They clear up misunderstandings with frank discussion.")</f>
        <v>They clear up misunderstandings with frank discussion.</v>
      </c>
    </row>
    <row r="820" spans="1:5" x14ac:dyDescent="0.25">
      <c r="A820" s="2" t="s">
        <v>2459</v>
      </c>
      <c r="B820" s="2" t="s">
        <v>2460</v>
      </c>
      <c r="C820" s="3" t="s">
        <v>2461</v>
      </c>
      <c r="D820" s="3" t="str">
        <f ca="1">IFERROR(__xludf.DUMMYFUNCTION("GOOGLETRANSLATE(A820,""fr"",""en"")"),"burst")</f>
        <v>burst</v>
      </c>
      <c r="E820" s="3" t="str">
        <f ca="1">IFERROR(__xludf.DUMMYFUNCTION("GOOGLETRANSLATE(B820,""fr"",""en"")"),"Anger erupts in the meeting room.")</f>
        <v>Anger erupts in the meeting room.</v>
      </c>
    </row>
    <row r="821" spans="1:5" x14ac:dyDescent="0.25">
      <c r="A821" s="2" t="s">
        <v>2462</v>
      </c>
      <c r="B821" s="2" t="s">
        <v>2463</v>
      </c>
      <c r="C821" s="3" t="s">
        <v>2464</v>
      </c>
      <c r="D821" s="3" t="str">
        <f ca="1">IFERROR(__xludf.DUMMYFUNCTION("GOOGLETRANSLATE(A821,""fr"",""en"")"),"differentiate")</f>
        <v>differentiate</v>
      </c>
      <c r="E821" s="3" t="str">
        <f ca="1">IFERROR(__xludf.DUMMYFUNCTION("GOOGLETRANSLATE(B821,""fr"",""en"")"),"It differentiates products according to their characteristics.")</f>
        <v>It differentiates products according to their characteristics.</v>
      </c>
    </row>
    <row r="822" spans="1:5" x14ac:dyDescent="0.25">
      <c r="A822" s="2" t="s">
        <v>2465</v>
      </c>
      <c r="B822" s="2" t="s">
        <v>2466</v>
      </c>
      <c r="C822" s="3" t="s">
        <v>2467</v>
      </c>
      <c r="D822" s="3" t="str">
        <f ca="1">IFERROR(__xludf.DUMMYFUNCTION("GOOGLETRANSLATE(A822,""fr"",""en"")"),"compile")</f>
        <v>compile</v>
      </c>
      <c r="E822" s="3" t="str">
        <f ca="1">IFERROR(__xludf.DUMMYFUNCTION("GOOGLETRANSLATE(B822,""fr"",""en"")"),"We compile data for analysis.")</f>
        <v>We compile data for analysis.</v>
      </c>
    </row>
    <row r="823" spans="1:5" x14ac:dyDescent="0.25">
      <c r="A823" s="2" t="s">
        <v>2468</v>
      </c>
      <c r="B823" s="2" t="s">
        <v>2469</v>
      </c>
      <c r="C823" s="3" t="s">
        <v>2470</v>
      </c>
      <c r="D823" s="3" t="str">
        <f ca="1">IFERROR(__xludf.DUMMYFUNCTION("GOOGLETRANSLATE(A823,""fr"",""en"")"),"memorize")</f>
        <v>memorize</v>
      </c>
      <c r="E823" s="3" t="str">
        <f ca="1">IFERROR(__xludf.DUMMYFUNCTION("GOOGLETRANSLATE(B823,""fr"",""en"")"),"She memorizes all the details of the plan.")</f>
        <v>She memorizes all the details of the plan.</v>
      </c>
    </row>
    <row r="824" spans="1:5" x14ac:dyDescent="0.25">
      <c r="A824" s="2" t="s">
        <v>2471</v>
      </c>
      <c r="B824" s="2" t="s">
        <v>2472</v>
      </c>
      <c r="C824" s="3" t="s">
        <v>2473</v>
      </c>
      <c r="D824" s="3" t="str">
        <f ca="1">IFERROR(__xludf.DUMMYFUNCTION("GOOGLETRANSLATE(A824,""fr"",""en"")"),"land")</f>
        <v>land</v>
      </c>
      <c r="E824" s="3" t="str">
        <f ca="1">IFERROR(__xludf.DUMMYFUNCTION("GOOGLETRANSLATE(B824,""fr"",""en"")"),"The plane will land in a few minutes.")</f>
        <v>The plane will land in a few minutes.</v>
      </c>
    </row>
    <row r="825" spans="1:5" x14ac:dyDescent="0.25">
      <c r="A825" s="2" t="s">
        <v>2474</v>
      </c>
      <c r="B825" s="2" t="s">
        <v>2475</v>
      </c>
      <c r="C825" s="3" t="s">
        <v>2476</v>
      </c>
      <c r="D825" s="3" t="str">
        <f ca="1">IFERROR(__xludf.DUMMYFUNCTION("GOOGLETRANSLATE(A825,""fr"",""en"")"),"to be born")</f>
        <v>to be born</v>
      </c>
      <c r="E825" s="3" t="str">
        <f ca="1">IFERROR(__xludf.DUMMYFUNCTION("GOOGLETRANSLATE(B825,""fr"",""en"")"),"They are born into a loving family.")</f>
        <v>They are born into a loving family.</v>
      </c>
    </row>
    <row r="826" spans="1:5" x14ac:dyDescent="0.25">
      <c r="A826" s="2" t="s">
        <v>2477</v>
      </c>
      <c r="B826" s="2" t="s">
        <v>2478</v>
      </c>
      <c r="C826" s="3" t="s">
        <v>2479</v>
      </c>
      <c r="D826" s="3" t="str">
        <f ca="1">IFERROR(__xludf.DUMMYFUNCTION("GOOGLETRANSLATE(A826,""fr"",""en"")"),"revenge")</f>
        <v>revenge</v>
      </c>
      <c r="E826" s="3" t="str">
        <f ca="1">IFERROR(__xludf.DUMMYFUNCTION("GOOGLETRANSLATE(B826,""fr"",""en"")"),"She avenges her friend by confronting her enemy.")</f>
        <v>She avenges her friend by confronting her enemy.</v>
      </c>
    </row>
    <row r="827" spans="1:5" x14ac:dyDescent="0.25">
      <c r="A827" s="2" t="s">
        <v>2480</v>
      </c>
      <c r="B827" s="2" t="s">
        <v>2481</v>
      </c>
      <c r="C827" s="3" t="s">
        <v>2482</v>
      </c>
      <c r="D827" s="3" t="str">
        <f ca="1">IFERROR(__xludf.DUMMYFUNCTION("GOOGLETRANSLATE(A827,""fr"",""en"")"),"housekeeping")</f>
        <v>housekeeping</v>
      </c>
      <c r="E827" s="3" t="str">
        <f ca="1">IFERROR(__xludf.DUMMYFUNCTION("GOOGLETRANSLATE(B827,""fr"",""en"")"),"They are saving their efforts for the marathon.")</f>
        <v>They are saving their efforts for the marathon.</v>
      </c>
    </row>
    <row r="828" spans="1:5" x14ac:dyDescent="0.25">
      <c r="A828" s="2" t="s">
        <v>2483</v>
      </c>
      <c r="B828" s="2" t="s">
        <v>2484</v>
      </c>
      <c r="C828" s="3" t="s">
        <v>2485</v>
      </c>
      <c r="D828" s="3" t="str">
        <f ca="1">IFERROR(__xludf.DUMMYFUNCTION("GOOGLETRANSLATE(A828,""fr"",""en"")"),"to lengthen")</f>
        <v>to lengthen</v>
      </c>
      <c r="E828" s="3" t="str">
        <f ca="1">IFERROR(__xludf.DUMMYFUNCTION("GOOGLETRANSLATE(B828,""fr"",""en"")"),"We are extending the length of the meeting.")</f>
        <v>We are extending the length of the meeting.</v>
      </c>
    </row>
    <row r="829" spans="1:5" x14ac:dyDescent="0.25">
      <c r="A829" s="2" t="s">
        <v>2486</v>
      </c>
      <c r="B829" s="2" t="s">
        <v>2487</v>
      </c>
      <c r="C829" s="3" t="s">
        <v>2488</v>
      </c>
      <c r="D829" s="3" t="str">
        <f ca="1">IFERROR(__xludf.DUMMYFUNCTION("GOOGLETRANSLATE(A829,""fr"",""en"")"),"reveal")</f>
        <v>reveal</v>
      </c>
      <c r="E829" s="3" t="str">
        <f ca="1">IFERROR(__xludf.DUMMYFUNCTION("GOOGLETRANSLATE(B829,""fr"",""en"")"),"He unveiled his project during the conference.")</f>
        <v>He unveiled his project during the conference.</v>
      </c>
    </row>
    <row r="830" spans="1:5" x14ac:dyDescent="0.25">
      <c r="A830" s="2" t="s">
        <v>2489</v>
      </c>
      <c r="B830" s="2" t="s">
        <v>2490</v>
      </c>
      <c r="C830" s="3" t="s">
        <v>2491</v>
      </c>
      <c r="D830" s="3" t="str">
        <f ca="1">IFERROR(__xludf.DUMMYFUNCTION("GOOGLETRANSLATE(A830,""fr"",""en"")"),"recycle")</f>
        <v>recycle</v>
      </c>
      <c r="E830" s="3" t="str">
        <f ca="1">IFERROR(__xludf.DUMMYFUNCTION("GOOGLETRANSLATE(B830,""fr"",""en"")"),"They recycle waste to protect the environment.")</f>
        <v>They recycle waste to protect the environment.</v>
      </c>
    </row>
    <row r="831" spans="1:5" x14ac:dyDescent="0.25">
      <c r="A831" s="2" t="s">
        <v>2492</v>
      </c>
      <c r="B831" s="2" t="s">
        <v>2493</v>
      </c>
      <c r="C831" s="3" t="s">
        <v>2494</v>
      </c>
      <c r="D831" s="3" t="str">
        <f ca="1">IFERROR(__xludf.DUMMYFUNCTION("GOOGLETRANSLATE(A831,""fr"",""en"")"),"slide")</f>
        <v>slide</v>
      </c>
      <c r="E831" s="3" t="str">
        <f ca="1">IFERROR(__xludf.DUMMYFUNCTION("GOOGLETRANSLATE(B831,""fr"",""en"")"),"The door slides smoothly on its tracks.")</f>
        <v>The door slides smoothly on its tracks.</v>
      </c>
    </row>
    <row r="832" spans="1:5" x14ac:dyDescent="0.25">
      <c r="A832" s="2" t="s">
        <v>2495</v>
      </c>
      <c r="B832" s="2" t="s">
        <v>2496</v>
      </c>
      <c r="C832" s="3" t="s">
        <v>2497</v>
      </c>
      <c r="D832" s="3" t="str">
        <f ca="1">IFERROR(__xludf.DUMMYFUNCTION("GOOGLETRANSLATE(A832,""fr"",""en"")"),"imitate")</f>
        <v>imitate</v>
      </c>
      <c r="E832" s="3" t="str">
        <f ca="1">IFERROR(__xludf.DUMMYFUNCTION("GOOGLETRANSLATE(B832,""fr"",""en"")"),"She imitates the foreign accent perfectly.")</f>
        <v>She imitates the foreign accent perfectly.</v>
      </c>
    </row>
    <row r="833" spans="1:5" x14ac:dyDescent="0.25">
      <c r="A833" s="2" t="s">
        <v>2498</v>
      </c>
      <c r="B833" s="2" t="s">
        <v>2499</v>
      </c>
      <c r="C833" s="3" t="s">
        <v>2500</v>
      </c>
      <c r="D833" s="3" t="str">
        <f ca="1">IFERROR(__xludf.DUMMYFUNCTION("GOOGLETRANSLATE(A833,""fr"",""en"")"),"detach")</f>
        <v>detach</v>
      </c>
      <c r="E833" s="3" t="str">
        <f ca="1">IFERROR(__xludf.DUMMYFUNCTION("GOOGLETRANSLATE(B833,""fr"",""en"")"),"He unties the ropes to unload the cargo.")</f>
        <v>He unties the ropes to unload the cargo.</v>
      </c>
    </row>
    <row r="834" spans="1:5" x14ac:dyDescent="0.25">
      <c r="A834" s="2" t="s">
        <v>2501</v>
      </c>
      <c r="B834" s="2" t="s">
        <v>2502</v>
      </c>
      <c r="C834" s="3" t="s">
        <v>2503</v>
      </c>
      <c r="D834" s="3" t="str">
        <f ca="1">IFERROR(__xludf.DUMMYFUNCTION("GOOGLETRANSLATE(A834,""fr"",""en"")"),"to build")</f>
        <v>to build</v>
      </c>
      <c r="E834" s="3" t="str">
        <f ca="1">IFERROR(__xludf.DUMMYFUNCTION("GOOGLETRANSLATE(B834,""fr"",""en"")"),"They are building a new school in the neighborhood.")</f>
        <v>They are building a new school in the neighborhood.</v>
      </c>
    </row>
    <row r="835" spans="1:5" x14ac:dyDescent="0.25">
      <c r="A835" s="2" t="s">
        <v>2504</v>
      </c>
      <c r="B835" s="2" t="s">
        <v>2505</v>
      </c>
      <c r="C835" s="3" t="s">
        <v>2506</v>
      </c>
      <c r="D835" s="3" t="str">
        <f ca="1">IFERROR(__xludf.DUMMYFUNCTION("GOOGLETRANSLATE(A835,""fr"",""en"")"),"prosper")</f>
        <v>prosper</v>
      </c>
      <c r="E835" s="3" t="str">
        <f ca="1">IFERROR(__xludf.DUMMYFUNCTION("GOOGLETRANSLATE(B835,""fr"",""en"")"),"We thrive through our collective efforts.")</f>
        <v>We thrive through our collective efforts.</v>
      </c>
    </row>
    <row r="836" spans="1:5" x14ac:dyDescent="0.25">
      <c r="A836" s="2" t="s">
        <v>2507</v>
      </c>
      <c r="B836" s="2" t="s">
        <v>2508</v>
      </c>
      <c r="C836" s="3" t="s">
        <v>2509</v>
      </c>
      <c r="D836" s="3" t="str">
        <f ca="1">IFERROR(__xludf.DUMMYFUNCTION("GOOGLETRANSLATE(A836,""fr"",""en"")"),"forge")</f>
        <v>forge</v>
      </c>
      <c r="E836" s="3" t="str">
        <f ca="1">IFERROR(__xludf.DUMMYFUNCTION("GOOGLETRANSLATE(B836,""fr"",""en"")"),"She forges her own path to success.")</f>
        <v>She forges her own path to success.</v>
      </c>
    </row>
    <row r="837" spans="1:5" x14ac:dyDescent="0.25">
      <c r="A837" s="2" t="s">
        <v>2510</v>
      </c>
      <c r="B837" s="2" t="s">
        <v>2511</v>
      </c>
      <c r="C837" s="3" t="s">
        <v>2512</v>
      </c>
      <c r="D837" s="3" t="str">
        <f ca="1">IFERROR(__xludf.DUMMYFUNCTION("GOOGLETRANSLATE(A837,""fr"",""en"")"),"ruin")</f>
        <v>ruin</v>
      </c>
      <c r="E837" s="3" t="str">
        <f ca="1">IFERROR(__xludf.DUMMYFUNCTION("GOOGLETRANSLATE(B837,""fr"",""en"")"),"They ruin their chances with one bad decision.")</f>
        <v>They ruin their chances with one bad decision.</v>
      </c>
    </row>
    <row r="838" spans="1:5" x14ac:dyDescent="0.25">
      <c r="A838" s="2" t="s">
        <v>2513</v>
      </c>
      <c r="B838" s="2" t="s">
        <v>2514</v>
      </c>
      <c r="C838" s="3" t="s">
        <v>2515</v>
      </c>
      <c r="D838" s="3" t="str">
        <f ca="1">IFERROR(__xludf.DUMMYFUNCTION("GOOGLETRANSLATE(A838,""fr"",""en"")"),"assume")</f>
        <v>assume</v>
      </c>
      <c r="E838" s="3" t="str">
        <f ca="1">IFERROR(__xludf.DUMMYFUNCTION("GOOGLETRANSLATE(B838,""fr"",""en"")"),"He assumes you've heard of this before.")</f>
        <v>He assumes you've heard of this before.</v>
      </c>
    </row>
    <row r="839" spans="1:5" x14ac:dyDescent="0.25">
      <c r="A839" s="2" t="s">
        <v>2516</v>
      </c>
      <c r="B839" s="2" t="s">
        <v>2517</v>
      </c>
      <c r="C839" s="3" t="s">
        <v>2518</v>
      </c>
      <c r="D839" s="3" t="str">
        <f ca="1">IFERROR(__xludf.DUMMYFUNCTION("GOOGLETRANSLATE(A839,""fr"",""en"")"),"ship")</f>
        <v>ship</v>
      </c>
      <c r="E839" s="3" t="str">
        <f ca="1">IFERROR(__xludf.DUMMYFUNCTION("GOOGLETRANSLATE(B839,""fr"",""en"")"),"She sends the package by express mail.")</f>
        <v>She sends the package by express mail.</v>
      </c>
    </row>
    <row r="840" spans="1:5" x14ac:dyDescent="0.25">
      <c r="A840" s="2" t="s">
        <v>2519</v>
      </c>
      <c r="B840" s="2" t="s">
        <v>2520</v>
      </c>
      <c r="C840" s="3" t="s">
        <v>2521</v>
      </c>
      <c r="D840" s="3" t="str">
        <f ca="1">IFERROR(__xludf.DUMMYFUNCTION("GOOGLETRANSLATE(A840,""fr"",""en"")"),"experience")</f>
        <v>experience</v>
      </c>
      <c r="E840" s="3" t="str">
        <f ca="1">IFERROR(__xludf.DUMMYFUNCTION("GOOGLETRANSLATE(B840,""fr"",""en"")"),"We feel grateful to our supporters.")</f>
        <v>We feel grateful to our supporters.</v>
      </c>
    </row>
    <row r="841" spans="1:5" x14ac:dyDescent="0.25">
      <c r="A841" s="2" t="s">
        <v>2522</v>
      </c>
      <c r="B841" s="2" t="s">
        <v>2523</v>
      </c>
      <c r="C841" s="3" t="s">
        <v>2524</v>
      </c>
      <c r="D841" s="3" t="str">
        <f ca="1">IFERROR(__xludf.DUMMYFUNCTION("GOOGLETRANSLATE(A841,""fr"",""en"")"),"warm")</f>
        <v>warm</v>
      </c>
      <c r="E841" s="3" t="str">
        <f ca="1">IFERROR(__xludf.DUMMYFUNCTION("GOOGLETRANSLATE(B841,""fr"",""en"")"),"He warms his hands by the fire.")</f>
        <v>He warms his hands by the fire.</v>
      </c>
    </row>
    <row r="842" spans="1:5" x14ac:dyDescent="0.25">
      <c r="A842" s="2" t="s">
        <v>2525</v>
      </c>
      <c r="B842" s="2" t="s">
        <v>2526</v>
      </c>
      <c r="C842" s="3" t="s">
        <v>2527</v>
      </c>
      <c r="D842" s="3" t="str">
        <f ca="1">IFERROR(__xludf.DUMMYFUNCTION("GOOGLETRANSLATE(A842,""fr"",""en"")"),"to arrange")</f>
        <v>to arrange</v>
      </c>
      <c r="E842" s="3" t="str">
        <f ca="1">IFERROR(__xludf.DUMMYFUNCTION("GOOGLETRANSLATE(B842,""fr"",""en"")"),"They arrange the garden to welcome guests.")</f>
        <v>They arrange the garden to welcome guests.</v>
      </c>
    </row>
    <row r="843" spans="1:5" x14ac:dyDescent="0.25">
      <c r="A843" s="2" t="s">
        <v>2528</v>
      </c>
      <c r="B843" s="2" t="s">
        <v>2529</v>
      </c>
      <c r="C843" s="3" t="s">
        <v>2530</v>
      </c>
      <c r="D843" s="3" t="str">
        <f ca="1">IFERROR(__xludf.DUMMYFUNCTION("GOOGLETRANSLATE(A843,""fr"",""en"")"),"restructure")</f>
        <v>restructure</v>
      </c>
      <c r="E843" s="3" t="str">
        <f ca="1">IFERROR(__xludf.DUMMYFUNCTION("GOOGLETRANSLATE(B843,""fr"",""en"")"),"She is restructuring her company to improve efficiency.")</f>
        <v>She is restructuring her company to improve efficiency.</v>
      </c>
    </row>
    <row r="844" spans="1:5" x14ac:dyDescent="0.25">
      <c r="A844" s="2" t="s">
        <v>2531</v>
      </c>
      <c r="B844" s="2" t="s">
        <v>2532</v>
      </c>
      <c r="C844" s="3" t="s">
        <v>2533</v>
      </c>
      <c r="D844" s="3" t="str">
        <f ca="1">IFERROR(__xludf.DUMMYFUNCTION("GOOGLETRANSLATE(A844,""fr"",""en"")"),"spread")</f>
        <v>spread</v>
      </c>
      <c r="E844" s="3" t="str">
        <f ca="1">IFERROR(__xludf.DUMMYFUNCTION("GOOGLETRANSLATE(B844,""fr"",""en"")"),"They spread the news through the media.")</f>
        <v>They spread the news through the media.</v>
      </c>
    </row>
    <row r="845" spans="1:5" x14ac:dyDescent="0.25">
      <c r="A845" s="2" t="s">
        <v>2534</v>
      </c>
      <c r="B845" s="2" t="s">
        <v>2535</v>
      </c>
      <c r="C845" s="3" t="s">
        <v>2536</v>
      </c>
      <c r="D845" s="3" t="str">
        <f ca="1">IFERROR(__xludf.DUMMYFUNCTION("GOOGLETRANSLATE(A845,""fr"",""en"")"),"prescribe")</f>
        <v>prescribe</v>
      </c>
      <c r="E845" s="3" t="str">
        <f ca="1">IFERROR(__xludf.DUMMYFUNCTION("GOOGLETRANSLATE(B845,""fr"",""en"")"),"He prescribes treatment to relieve the pain.")</f>
        <v>He prescribes treatment to relieve the pain.</v>
      </c>
    </row>
    <row r="846" spans="1:5" x14ac:dyDescent="0.25">
      <c r="A846" s="2" t="s">
        <v>2537</v>
      </c>
      <c r="B846" s="2" t="s">
        <v>2538</v>
      </c>
      <c r="C846" s="3" t="s">
        <v>2539</v>
      </c>
      <c r="D846" s="3" t="str">
        <f ca="1">IFERROR(__xludf.DUMMYFUNCTION("GOOGLETRANSLATE(A846,""fr"",""en"")"),"contract")</f>
        <v>contract</v>
      </c>
      <c r="E846" s="3" t="str">
        <f ca="1">IFERROR(__xludf.DUMMYFUNCTION("GOOGLETRANSLATE(B846,""fr"",""en"")"),"She tenses her muscles before jumping.")</f>
        <v>She tenses her muscles before jumping.</v>
      </c>
    </row>
    <row r="847" spans="1:5" x14ac:dyDescent="0.25">
      <c r="A847" s="2" t="s">
        <v>2540</v>
      </c>
      <c r="B847" s="2" t="s">
        <v>2541</v>
      </c>
      <c r="C847" s="3" t="s">
        <v>2542</v>
      </c>
      <c r="D847" s="3" t="str">
        <f ca="1">IFERROR(__xludf.DUMMYFUNCTION("GOOGLETRANSLATE(A847,""fr"",""en"")"),"to soothe")</f>
        <v>to soothe</v>
      </c>
      <c r="E847" s="3" t="str">
        <f ca="1">IFERROR(__xludf.DUMMYFUNCTION("GOOGLETRANSLATE(B847,""fr"",""en"")"),"We ease tensions with kind words.")</f>
        <v>We ease tensions with kind words.</v>
      </c>
    </row>
    <row r="848" spans="1:5" x14ac:dyDescent="0.25">
      <c r="A848" s="2" t="s">
        <v>2543</v>
      </c>
      <c r="B848" s="2" t="s">
        <v>2544</v>
      </c>
      <c r="C848" s="3" t="s">
        <v>2545</v>
      </c>
      <c r="D848" s="3" t="str">
        <f ca="1">IFERROR(__xludf.DUMMYFUNCTION("GOOGLETRANSLATE(A848,""fr"",""en"")"),"compensate")</f>
        <v>compensate</v>
      </c>
      <c r="E848" s="3" t="str">
        <f ca="1">IFERROR(__xludf.DUMMYFUNCTION("GOOGLETRANSLATE(B848,""fr"",""en"")"),"He compensates the victims of the accident.")</f>
        <v>He compensates the victims of the accident.</v>
      </c>
    </row>
    <row r="849" spans="1:5" x14ac:dyDescent="0.25">
      <c r="A849" s="2" t="s">
        <v>2546</v>
      </c>
      <c r="B849" s="2" t="s">
        <v>2547</v>
      </c>
      <c r="C849" s="3" t="s">
        <v>2548</v>
      </c>
      <c r="D849" s="3" t="str">
        <f ca="1">IFERROR(__xludf.DUMMYFUNCTION("GOOGLETRANSLATE(A849,""fr"",""en"")"),"fail")</f>
        <v>fail</v>
      </c>
      <c r="E849" s="3" t="str">
        <f ca="1">IFERROR(__xludf.DUMMYFUNCTION("GOOGLETRANSLATE(B849,""fr"",""en"")"),"She fails to solve the riddle.")</f>
        <v>She fails to solve the riddle.</v>
      </c>
    </row>
    <row r="850" spans="1:5" x14ac:dyDescent="0.25">
      <c r="A850" s="2" t="s">
        <v>2549</v>
      </c>
      <c r="B850" s="2" t="s">
        <v>2550</v>
      </c>
      <c r="C850" s="3" t="s">
        <v>2551</v>
      </c>
      <c r="D850" s="3" t="str">
        <f ca="1">IFERROR(__xludf.DUMMYFUNCTION("GOOGLETRANSLATE(A850,""fr"",""en"")"),"to frequent")</f>
        <v>to frequent</v>
      </c>
      <c r="E850" s="3" t="str">
        <f ca="1">IFERROR(__xludf.DUMMYFUNCTION("GOOGLETRANSLATE(B850,""fr"",""en"")"),"They have been attending the same school for years.")</f>
        <v>They have been attending the same school for years.</v>
      </c>
    </row>
    <row r="851" spans="1:5" x14ac:dyDescent="0.25">
      <c r="A851" s="2" t="s">
        <v>2552</v>
      </c>
      <c r="B851" s="2" t="s">
        <v>2553</v>
      </c>
      <c r="C851" s="3" t="s">
        <v>2554</v>
      </c>
      <c r="D851" s="3" t="str">
        <f ca="1">IFERROR(__xludf.DUMMYFUNCTION("GOOGLETRANSLATE(A851,""fr"",""en"")"),"to preside")</f>
        <v>to preside</v>
      </c>
      <c r="E851" s="3" t="str">
        <f ca="1">IFERROR(__xludf.DUMMYFUNCTION("GOOGLETRANSLATE(B851,""fr"",""en"")"),"We chair the meeting with authority.")</f>
        <v>We chair the meeting with authority.</v>
      </c>
    </row>
    <row r="852" spans="1:5" x14ac:dyDescent="0.25">
      <c r="A852" s="2" t="s">
        <v>2555</v>
      </c>
      <c r="B852" s="2" t="s">
        <v>2556</v>
      </c>
      <c r="C852" s="3" t="s">
        <v>2557</v>
      </c>
      <c r="D852" s="3" t="str">
        <f ca="1">IFERROR(__xludf.DUMMYFUNCTION("GOOGLETRANSLATE(A852,""fr"",""en"")"),"repeal")</f>
        <v>repeal</v>
      </c>
      <c r="E852" s="3" t="str">
        <f ca="1">IFERROR(__xludf.DUMMYFUNCTION("GOOGLETRANSLATE(B852,""fr"",""en"")"),"He repeals the controversial law.")</f>
        <v>He repeals the controversial law.</v>
      </c>
    </row>
    <row r="853" spans="1:5" x14ac:dyDescent="0.25">
      <c r="A853" s="2" t="s">
        <v>2558</v>
      </c>
      <c r="B853" s="2" t="s">
        <v>2559</v>
      </c>
      <c r="C853" s="3" t="s">
        <v>2560</v>
      </c>
      <c r="D853" s="3" t="str">
        <f ca="1">IFERROR(__xludf.DUMMYFUNCTION("GOOGLETRANSLATE(A853,""fr"",""en"")"),"depend")</f>
        <v>depend</v>
      </c>
      <c r="E853" s="3" t="str">
        <f ca="1">IFERROR(__xludf.DUMMYFUNCTION("GOOGLETRANSLATE(B853,""fr"",""en"")"),"She depends on her team for the success of the project.")</f>
        <v>She depends on her team for the success of the project.</v>
      </c>
    </row>
    <row r="854" spans="1:5" x14ac:dyDescent="0.25">
      <c r="A854" s="2" t="s">
        <v>2561</v>
      </c>
      <c r="B854" s="2" t="s">
        <v>2562</v>
      </c>
      <c r="C854" s="3" t="s">
        <v>2563</v>
      </c>
      <c r="D854" s="3" t="str">
        <f ca="1">IFERROR(__xludf.DUMMYFUNCTION("GOOGLETRANSLATE(A854,""fr"",""en"")"),"complicate")</f>
        <v>complicate</v>
      </c>
      <c r="E854" s="3" t="str">
        <f ca="1">IFERROR(__xludf.DUMMYFUNCTION("GOOGLETRANSLATE(B854,""fr"",""en"")"),"They are unnecessarily complicating the situation.")</f>
        <v>They are unnecessarily complicating the situation.</v>
      </c>
    </row>
    <row r="855" spans="1:5" x14ac:dyDescent="0.25">
      <c r="A855" s="2" t="s">
        <v>2564</v>
      </c>
      <c r="B855" s="2" t="s">
        <v>2565</v>
      </c>
      <c r="C855" s="3" t="s">
        <v>2566</v>
      </c>
      <c r="D855" s="3" t="str">
        <f ca="1">IFERROR(__xludf.DUMMYFUNCTION("GOOGLETRANSLATE(A855,""fr"",""en"")"),"accentuate")</f>
        <v>accentuate</v>
      </c>
      <c r="E855" s="3" t="str">
        <f ca="1">IFERROR(__xludf.DUMMYFUNCTION("GOOGLETRANSLATE(B855,""fr"",""en"")"),"We are increasing our efforts to achieve our goals.")</f>
        <v>We are increasing our efforts to achieve our goals.</v>
      </c>
    </row>
    <row r="856" spans="1:5" x14ac:dyDescent="0.25">
      <c r="A856" s="2" t="s">
        <v>2567</v>
      </c>
      <c r="B856" s="2" t="s">
        <v>2568</v>
      </c>
      <c r="C856" s="3" t="s">
        <v>2569</v>
      </c>
      <c r="D856" s="3" t="str">
        <f ca="1">IFERROR(__xludf.DUMMYFUNCTION("GOOGLETRANSLATE(A856,""fr"",""en"")"),"to dialogue")</f>
        <v>to dialogue</v>
      </c>
      <c r="E856" s="3" t="str">
        <f ca="1">IFERROR(__xludf.DUMMYFUNCTION("GOOGLETRANSLATE(B856,""fr"",""en"")"),"He talks with his team members.")</f>
        <v>He talks with his team members.</v>
      </c>
    </row>
    <row r="857" spans="1:5" x14ac:dyDescent="0.25">
      <c r="A857" s="2" t="s">
        <v>2570</v>
      </c>
      <c r="B857" s="2" t="s">
        <v>2571</v>
      </c>
      <c r="C857" s="3" t="s">
        <v>2572</v>
      </c>
      <c r="D857" s="3" t="str">
        <f ca="1">IFERROR(__xludf.DUMMYFUNCTION("GOOGLETRANSLATE(A857,""fr"",""en"")"),"obey")</f>
        <v>obey</v>
      </c>
      <c r="E857" s="3" t="str">
        <f ca="1">IFERROR(__xludf.DUMMYFUNCTION("GOOGLETRANSLATE(B857,""fr"",""en"")"),"She obeys the company's strict rules.")</f>
        <v>She obeys the company's strict rules.</v>
      </c>
    </row>
    <row r="858" spans="1:5" x14ac:dyDescent="0.25">
      <c r="A858" s="2" t="s">
        <v>2573</v>
      </c>
      <c r="B858" s="2" t="s">
        <v>2574</v>
      </c>
      <c r="C858" s="3" t="s">
        <v>2575</v>
      </c>
      <c r="D858" s="3" t="str">
        <f ca="1">IFERROR(__xludf.DUMMYFUNCTION("GOOGLETRANSLATE(A858,""fr"",""en"")"),"come out")</f>
        <v>come out</v>
      </c>
      <c r="E858" s="3" t="str">
        <f ca="1">IFERROR(__xludf.DUMMYFUNCTION("GOOGLETRANSLATE(B858,""fr"",""en"")"),"They take out the files for verification.")</f>
        <v>They take out the files for verification.</v>
      </c>
    </row>
    <row r="859" spans="1:5" x14ac:dyDescent="0.25">
      <c r="A859" s="2" t="s">
        <v>2576</v>
      </c>
      <c r="B859" s="2" t="s">
        <v>2577</v>
      </c>
      <c r="C859" s="3" t="s">
        <v>2578</v>
      </c>
      <c r="D859" s="3" t="str">
        <f ca="1">IFERROR(__xludf.DUMMYFUNCTION("GOOGLETRANSLATE(A859,""fr"",""en"")"),"structure")</f>
        <v>structure</v>
      </c>
      <c r="E859" s="3" t="str">
        <f ca="1">IFERROR(__xludf.DUMMYFUNCTION("GOOGLETRANSLATE(B859,""fr"",""en"")"),"We structure the document in a clear manner.")</f>
        <v>We structure the document in a clear manner.</v>
      </c>
    </row>
    <row r="860" spans="1:5" x14ac:dyDescent="0.25">
      <c r="A860" s="2" t="s">
        <v>2579</v>
      </c>
      <c r="B860" s="2" t="s">
        <v>2580</v>
      </c>
      <c r="C860" s="3" t="s">
        <v>2581</v>
      </c>
      <c r="D860" s="3" t="str">
        <f ca="1">IFERROR(__xludf.DUMMYFUNCTION("GOOGLETRANSLATE(A860,""fr"",""en"")"),"seal")</f>
        <v>seal</v>
      </c>
      <c r="E860" s="3" t="str">
        <f ca="1">IFERROR(__xludf.DUMMYFUNCTION("GOOGLETRANSLATE(B860,""fr"",""en"")"),"He seals the deal with a handshake.")</f>
        <v>He seals the deal with a handshake.</v>
      </c>
    </row>
    <row r="861" spans="1:5" x14ac:dyDescent="0.25">
      <c r="A861" s="2" t="s">
        <v>2582</v>
      </c>
      <c r="B861" s="2" t="s">
        <v>2583</v>
      </c>
      <c r="C861" s="3" t="s">
        <v>2584</v>
      </c>
      <c r="D861" s="3" t="str">
        <f ca="1">IFERROR(__xludf.DUMMYFUNCTION("GOOGLETRANSLATE(A861,""fr"",""en"")"),"to state")</f>
        <v>to state</v>
      </c>
      <c r="E861" s="3" t="str">
        <f ca="1">IFERROR(__xludf.DUMMYFUNCTION("GOOGLETRANSLATE(B861,""fr"",""en"")"),"She clearly states her requirements.")</f>
        <v>She clearly states her requirements.</v>
      </c>
    </row>
    <row r="862" spans="1:5" x14ac:dyDescent="0.25">
      <c r="A862" s="2" t="s">
        <v>2585</v>
      </c>
      <c r="B862" s="2" t="s">
        <v>2586</v>
      </c>
      <c r="C862" s="3" t="s">
        <v>2587</v>
      </c>
      <c r="D862" s="3" t="str">
        <f ca="1">IFERROR(__xludf.DUMMYFUNCTION("GOOGLETRANSLATE(A862,""fr"",""en"")"),"embark")</f>
        <v>embark</v>
      </c>
      <c r="E862" s="3" t="str">
        <f ca="1">IFERROR(__xludf.DUMMYFUNCTION("GOOGLETRANSLATE(B862,""fr"",""en"")"),"They board the train heading towards the city.")</f>
        <v>They board the train heading towards the city.</v>
      </c>
    </row>
    <row r="863" spans="1:5" x14ac:dyDescent="0.25">
      <c r="A863" s="2" t="s">
        <v>2588</v>
      </c>
      <c r="B863" s="2" t="s">
        <v>2589</v>
      </c>
      <c r="C863" s="3" t="s">
        <v>2590</v>
      </c>
      <c r="D863" s="3" t="str">
        <f ca="1">IFERROR(__xludf.DUMMYFUNCTION("GOOGLETRANSLATE(A863,""fr"",""en"")"),"list")</f>
        <v>list</v>
      </c>
      <c r="E863" s="3" t="str">
        <f ca="1">IFERROR(__xludf.DUMMYFUNCTION("GOOGLETRANSLATE(B863,""fr"",""en"")"),"We list the points to be discussed at the meeting.")</f>
        <v>We list the points to be discussed at the meeting.</v>
      </c>
    </row>
    <row r="864" spans="1:5" x14ac:dyDescent="0.25">
      <c r="A864" s="2" t="s">
        <v>2591</v>
      </c>
      <c r="B864" s="2" t="s">
        <v>2592</v>
      </c>
      <c r="C864" s="3" t="s">
        <v>2593</v>
      </c>
      <c r="D864" s="3" t="str">
        <f ca="1">IFERROR(__xludf.DUMMYFUNCTION("GOOGLETRANSLATE(A864,""fr"",""en"")"),"suffocate")</f>
        <v>suffocate</v>
      </c>
      <c r="E864" s="3" t="str">
        <f ca="1">IFERROR(__xludf.DUMMYFUNCTION("GOOGLETRANSLATE(B864,""fr"",""en"")"),"He stifles his laughter so as not to disturb the class.")</f>
        <v>He stifles his laughter so as not to disturb the class.</v>
      </c>
    </row>
    <row r="865" spans="1:5" x14ac:dyDescent="0.25">
      <c r="A865" s="2" t="s">
        <v>2594</v>
      </c>
      <c r="B865" s="2" t="s">
        <v>2595</v>
      </c>
      <c r="C865" s="3" t="s">
        <v>2596</v>
      </c>
      <c r="D865" s="3" t="str">
        <f ca="1">IFERROR(__xludf.DUMMYFUNCTION("GOOGLETRANSLATE(A865,""fr"",""en"")"),"to fall over")</f>
        <v>to fall over</v>
      </c>
      <c r="E865" s="3" t="str">
        <f ca="1">IFERROR(__xludf.DUMMYFUNCTION("GOOGLETRANSLATE(B865,""fr"",""en"")"),"They switch from one strategy to another.")</f>
        <v>They switch from one strategy to another.</v>
      </c>
    </row>
    <row r="866" spans="1:5" x14ac:dyDescent="0.25">
      <c r="A866" s="2" t="s">
        <v>2597</v>
      </c>
      <c r="B866" s="2" t="s">
        <v>2598</v>
      </c>
      <c r="C866" s="3" t="s">
        <v>2599</v>
      </c>
      <c r="D866" s="3" t="str">
        <f ca="1">IFERROR(__xludf.DUMMYFUNCTION("GOOGLETRANSLATE(A866,""fr"",""en"")"),"redefine")</f>
        <v>redefine</v>
      </c>
      <c r="E866" s="3" t="str">
        <f ca="1">IFERROR(__xludf.DUMMYFUNCTION("GOOGLETRANSLATE(B866,""fr"",""en"")"),"She redefines her personal goal.")</f>
        <v>She redefines her personal goal.</v>
      </c>
    </row>
    <row r="867" spans="1:5" x14ac:dyDescent="0.25">
      <c r="A867" s="2" t="s">
        <v>2600</v>
      </c>
      <c r="B867" s="2" t="s">
        <v>2601</v>
      </c>
      <c r="C867" s="3" t="s">
        <v>2602</v>
      </c>
      <c r="D867" s="3" t="str">
        <f ca="1">IFERROR(__xludf.DUMMYFUNCTION("GOOGLETRANSLATE(A867,""fr"",""en"")"),"refer")</f>
        <v>refer</v>
      </c>
      <c r="E867" s="3" t="str">
        <f ca="1">IFERROR(__xludf.DUMMYFUNCTION("GOOGLETRANSLATE(B867,""fr"",""en"")"),"It is necessary to refer to reliable sources")</f>
        <v>It is necessary to refer to reliable sources</v>
      </c>
    </row>
    <row r="868" spans="1:5" x14ac:dyDescent="0.25">
      <c r="A868" s="2" t="s">
        <v>2603</v>
      </c>
      <c r="B868" s="2" t="s">
        <v>2604</v>
      </c>
      <c r="C868" s="3" t="s">
        <v>2605</v>
      </c>
      <c r="D868" s="3" t="str">
        <f ca="1">IFERROR(__xludf.DUMMYFUNCTION("GOOGLETRANSLATE(A868,""fr"",""en"")"),"reiterate")</f>
        <v>reiterate</v>
      </c>
      <c r="E868" s="3" t="str">
        <f ca="1">IFERROR(__xludf.DUMMYFUNCTION("GOOGLETRANSLATE(B868,""fr"",""en"")"),"They reiterate their commitment to the community.")</f>
        <v>They reiterate their commitment to the community.</v>
      </c>
    </row>
    <row r="869" spans="1:5" x14ac:dyDescent="0.25">
      <c r="A869" s="2" t="s">
        <v>2606</v>
      </c>
      <c r="B869" s="2" t="s">
        <v>2607</v>
      </c>
      <c r="C869" s="3" t="s">
        <v>2608</v>
      </c>
      <c r="D869" s="3" t="str">
        <f ca="1">IFERROR(__xludf.DUMMYFUNCTION("GOOGLETRANSLATE(A869,""fr"",""en"")"),"restore")</f>
        <v>restore</v>
      </c>
      <c r="E869" s="3" t="str">
        <f ca="1">IFERROR(__xludf.DUMMYFUNCTION("GOOGLETRANSLATE(B869,""fr"",""en"")"),"We return the documents after reading.")</f>
        <v>We return the documents after reading.</v>
      </c>
    </row>
    <row r="870" spans="1:5" x14ac:dyDescent="0.25">
      <c r="A870" s="2" t="s">
        <v>2609</v>
      </c>
      <c r="B870" s="2" t="s">
        <v>2610</v>
      </c>
      <c r="C870" s="3" t="s">
        <v>2611</v>
      </c>
      <c r="D870" s="3" t="str">
        <f ca="1">IFERROR(__xludf.DUMMYFUNCTION("GOOGLETRANSLATE(A870,""fr"",""en"")"),"sweep")</f>
        <v>sweep</v>
      </c>
      <c r="E870" s="3" t="str">
        <f ca="1">IFERROR(__xludf.DUMMYFUNCTION("GOOGLETRANSLATE(B870,""fr"",""en"")"),"He sweeps the dead leaves in front of his door.")</f>
        <v>He sweeps the dead leaves in front of his door.</v>
      </c>
    </row>
    <row r="871" spans="1:5" x14ac:dyDescent="0.25">
      <c r="A871" s="2" t="s">
        <v>2612</v>
      </c>
      <c r="B871" s="2" t="s">
        <v>2613</v>
      </c>
      <c r="C871" s="3" t="s">
        <v>2614</v>
      </c>
      <c r="D871" s="3" t="str">
        <f ca="1">IFERROR(__xludf.DUMMYFUNCTION("GOOGLETRANSLATE(A871,""fr"",""en"")"),"revitalize")</f>
        <v>revitalize</v>
      </c>
      <c r="E871" s="3" t="str">
        <f ca="1">IFERROR(__xludf.DUMMYFUNCTION("GOOGLETRANSLATE(B871,""fr"",""en"")"),"She revitalizes the neighborhood with cultural projects.")</f>
        <v>She revitalizes the neighborhood with cultural projects.</v>
      </c>
    </row>
    <row r="872" spans="1:5" x14ac:dyDescent="0.25">
      <c r="A872" s="2" t="s">
        <v>2615</v>
      </c>
      <c r="B872" s="2" t="s">
        <v>2616</v>
      </c>
      <c r="C872" s="3" t="s">
        <v>2617</v>
      </c>
      <c r="D872" s="3" t="str">
        <f ca="1">IFERROR(__xludf.DUMMYFUNCTION("GOOGLETRANSLATE(A872,""fr"",""en"")"),"to take a walk")</f>
        <v>to take a walk</v>
      </c>
      <c r="E872" s="3" t="str">
        <f ca="1">IFERROR(__xludf.DUMMYFUNCTION("GOOGLETRANSLATE(B872,""fr"",""en"")"),"They walk along the beach at sunset.")</f>
        <v>They walk along the beach at sunset.</v>
      </c>
    </row>
    <row r="873" spans="1:5" x14ac:dyDescent="0.25">
      <c r="A873" s="2" t="s">
        <v>2618</v>
      </c>
      <c r="B873" s="2" t="s">
        <v>2619</v>
      </c>
      <c r="C873" s="3" t="s">
        <v>2620</v>
      </c>
      <c r="D873" s="3" t="str">
        <f ca="1">IFERROR(__xludf.DUMMYFUNCTION("GOOGLETRANSLATE(A873,""fr"",""en"")"),"subtract")</f>
        <v>subtract</v>
      </c>
      <c r="E873" s="3" t="str">
        <f ca="1">IFERROR(__xludf.DUMMYFUNCTION("GOOGLETRANSLATE(B873,""fr"",""en"")"),"We subtract the shipping costs from the total.")</f>
        <v>We subtract the shipping costs from the total.</v>
      </c>
    </row>
    <row r="874" spans="1:5" x14ac:dyDescent="0.25">
      <c r="A874" s="2" t="s">
        <v>2621</v>
      </c>
      <c r="B874" s="2" t="s">
        <v>2622</v>
      </c>
      <c r="C874" s="3" t="s">
        <v>2623</v>
      </c>
      <c r="D874" s="3" t="str">
        <f ca="1">IFERROR(__xludf.DUMMYFUNCTION("GOOGLETRANSLATE(A874,""fr"",""en"")"),"swell")</f>
        <v>swell</v>
      </c>
      <c r="E874" s="3" t="str">
        <f ca="1">IFERROR(__xludf.DUMMYFUNCTION("GOOGLETRANSLATE(B874,""fr"",""en"")"),"He inflates the balloon for the birthday party.")</f>
        <v>He inflates the balloon for the birthday party.</v>
      </c>
    </row>
    <row r="875" spans="1:5" x14ac:dyDescent="0.25">
      <c r="A875" s="2" t="s">
        <v>2624</v>
      </c>
      <c r="B875" s="2" t="s">
        <v>2625</v>
      </c>
      <c r="C875" s="3" t="s">
        <v>2626</v>
      </c>
      <c r="D875" s="3" t="str">
        <f ca="1">IFERROR(__xludf.DUMMYFUNCTION("GOOGLETRANSLATE(A875,""fr"",""en"")"),"to burst")</f>
        <v>to burst</v>
      </c>
      <c r="E875" s="3" t="str">
        <f ca="1">IFERROR(__xludf.DUMMYFUNCTION("GOOGLETRANSLATE(B875,""fr"",""en"")"),"She pops the buttons on the shirt.")</f>
        <v>She pops the buttons on the shirt.</v>
      </c>
    </row>
    <row r="876" spans="1:5" x14ac:dyDescent="0.25">
      <c r="A876" s="2" t="s">
        <v>2627</v>
      </c>
      <c r="B876" s="2" t="s">
        <v>2628</v>
      </c>
      <c r="C876" s="3" t="s">
        <v>2629</v>
      </c>
      <c r="D876" s="3" t="str">
        <f ca="1">IFERROR(__xludf.DUMMYFUNCTION("GOOGLETRANSLATE(A876,""fr"",""en"")"),"close")</f>
        <v>close</v>
      </c>
      <c r="E876" s="3" t="str">
        <f ca="1">IFERROR(__xludf.DUMMYFUNCTION("GOOGLETRANSLATE(B876,""fr"",""en"")"),"They closed the case after finding a solution.")</f>
        <v>They closed the case after finding a solution.</v>
      </c>
    </row>
    <row r="877" spans="1:5" x14ac:dyDescent="0.25">
      <c r="A877" s="2" t="s">
        <v>2630</v>
      </c>
      <c r="B877" s="2" t="s">
        <v>2631</v>
      </c>
      <c r="C877" s="3" t="s">
        <v>2632</v>
      </c>
      <c r="D877" s="3" t="str">
        <f ca="1">IFERROR(__xludf.DUMMYFUNCTION("GOOGLETRANSLATE(A877,""fr"",""en"")"),"betray")</f>
        <v>betray</v>
      </c>
      <c r="E877" s="3" t="str">
        <f ca="1">IFERROR(__xludf.DUMMYFUNCTION("GOOGLETRANSLATE(B877,""fr"",""en"")"),"He betrays his friend by revealing his secret.")</f>
        <v>He betrays his friend by revealing his secret.</v>
      </c>
    </row>
    <row r="878" spans="1:5" x14ac:dyDescent="0.25">
      <c r="A878" s="2" t="s">
        <v>2633</v>
      </c>
      <c r="B878" s="2" t="s">
        <v>2634</v>
      </c>
      <c r="C878" s="3" t="s">
        <v>2635</v>
      </c>
      <c r="D878" s="3" t="str">
        <f ca="1">IFERROR(__xludf.DUMMYFUNCTION("GOOGLETRANSLATE(A878,""fr"",""en"")"),"to worry")</f>
        <v>to worry</v>
      </c>
      <c r="E878" s="3" t="str">
        <f ca="1">IFERROR(__xludf.DUMMYFUNCTION("GOOGLETRANSLATE(B878,""fr"",""en"")"),"We are concerned about the future of our children.")</f>
        <v>We are concerned about the future of our children.</v>
      </c>
    </row>
    <row r="879" spans="1:5" x14ac:dyDescent="0.25">
      <c r="A879" s="2" t="s">
        <v>2636</v>
      </c>
      <c r="B879" s="2" t="s">
        <v>2637</v>
      </c>
      <c r="C879" s="3" t="s">
        <v>2638</v>
      </c>
      <c r="D879" s="3" t="str">
        <f ca="1">IFERROR(__xludf.DUMMYFUNCTION("GOOGLETRANSLATE(A879,""fr"",""en"")"),"to sort out")</f>
        <v>to sort out</v>
      </c>
      <c r="E879" s="3" t="str">
        <f ca="1">IFERROR(__xludf.DUMMYFUNCTION("GOOGLETRANSLATE(B879,""fr"",""en"")"),"She straightens her posture to appear more confident.")</f>
        <v>She straightens her posture to appear more confident.</v>
      </c>
    </row>
    <row r="880" spans="1:5" x14ac:dyDescent="0.25">
      <c r="A880" s="2" t="s">
        <v>2639</v>
      </c>
      <c r="B880" s="2" t="s">
        <v>2640</v>
      </c>
      <c r="C880" s="3" t="s">
        <v>2641</v>
      </c>
      <c r="D880" s="3" t="str">
        <f ca="1">IFERROR(__xludf.DUMMYFUNCTION("GOOGLETRANSLATE(A880,""fr"",""en"")"),"purge")</f>
        <v>purge</v>
      </c>
      <c r="E880" s="3" t="str">
        <f ca="1">IFERROR(__xludf.DUMMYFUNCTION("GOOGLETRANSLATE(B880,""fr"",""en"")"),"They purge the excess from their system.")</f>
        <v>They purge the excess from their system.</v>
      </c>
    </row>
    <row r="881" spans="1:5" x14ac:dyDescent="0.25">
      <c r="A881" s="2" t="s">
        <v>2642</v>
      </c>
      <c r="B881" s="2" t="s">
        <v>2643</v>
      </c>
      <c r="C881" s="3" t="s">
        <v>2644</v>
      </c>
      <c r="D881" s="3" t="str">
        <f ca="1">IFERROR(__xludf.DUMMYFUNCTION("GOOGLETRANSLATE(A881,""fr"",""en"")"),"to scare")</f>
        <v>to scare</v>
      </c>
      <c r="E881" s="3" t="str">
        <f ca="1">IFERROR(__xludf.DUMMYFUNCTION("GOOGLETRANSLATE(B881,""fr"",""en"")"),"We scare children with ghost stories.")</f>
        <v>We scare children with ghost stories.</v>
      </c>
    </row>
    <row r="882" spans="1:5" x14ac:dyDescent="0.25">
      <c r="A882" s="2" t="s">
        <v>2645</v>
      </c>
      <c r="B882" s="2" t="s">
        <v>2646</v>
      </c>
      <c r="C882" s="3" t="s">
        <v>2647</v>
      </c>
      <c r="D882" s="3" t="str">
        <f ca="1">IFERROR(__xludf.DUMMYFUNCTION("GOOGLETRANSLATE(A882,""fr"",""en"")"),"reside")</f>
        <v>reside</v>
      </c>
      <c r="E882" s="3" t="str">
        <f ca="1">IFERROR(__xludf.DUMMYFUNCTION("GOOGLETRANSLATE(B882,""fr"",""en"")"),"He lives in a picturesque little village.")</f>
        <v>He lives in a picturesque little village.</v>
      </c>
    </row>
    <row r="883" spans="1:5" x14ac:dyDescent="0.25">
      <c r="A883" s="2" t="s">
        <v>2648</v>
      </c>
      <c r="B883" s="2" t="s">
        <v>2649</v>
      </c>
      <c r="C883" s="3" t="s">
        <v>2650</v>
      </c>
      <c r="D883" s="3" t="str">
        <f ca="1">IFERROR(__xludf.DUMMYFUNCTION("GOOGLETRANSLATE(A883,""fr"",""en"")"),"alert")</f>
        <v>alert</v>
      </c>
      <c r="E883" s="3" t="str">
        <f ca="1">IFERROR(__xludf.DUMMYFUNCTION("GOOGLETRANSLATE(B883,""fr"",""en"")"),"She alerts her team about the upcoming changes.")</f>
        <v>She alerts her team about the upcoming changes.</v>
      </c>
    </row>
    <row r="884" spans="1:5" x14ac:dyDescent="0.25">
      <c r="A884" s="2" t="s">
        <v>2651</v>
      </c>
      <c r="B884" s="2" t="s">
        <v>2652</v>
      </c>
      <c r="C884" s="3" t="s">
        <v>2653</v>
      </c>
      <c r="D884" s="3" t="str">
        <f ca="1">IFERROR(__xludf.DUMMYFUNCTION("GOOGLETRANSLATE(A884,""fr"",""en"")"),"differ")</f>
        <v>differ</v>
      </c>
      <c r="E884" s="3" t="str">
        <f ca="1">IFERROR(__xludf.DUMMYFUNCTION("GOOGLETRANSLATE(B884,""fr"",""en"")"),"They differ on the strategy to adopt.")</f>
        <v>They differ on the strategy to adopt.</v>
      </c>
    </row>
    <row r="885" spans="1:5" x14ac:dyDescent="0.25">
      <c r="A885" s="2" t="s">
        <v>2654</v>
      </c>
      <c r="B885" s="2" t="s">
        <v>2655</v>
      </c>
      <c r="C885" s="3" t="s">
        <v>2656</v>
      </c>
      <c r="D885" s="3" t="str">
        <f ca="1">IFERROR(__xludf.DUMMYFUNCTION("GOOGLETRANSLATE(A885,""fr"",""en"")"),"extend")</f>
        <v>extend</v>
      </c>
      <c r="E885" s="3" t="str">
        <f ca="1">IFERROR(__xludf.DUMMYFUNCTION("GOOGLETRANSLATE(B885,""fr"",""en"")"),"We are extending the submission deadline.")</f>
        <v>We are extending the submission deadline.</v>
      </c>
    </row>
    <row r="886" spans="1:5" x14ac:dyDescent="0.25">
      <c r="A886" s="2" t="s">
        <v>2657</v>
      </c>
      <c r="B886" s="2" t="s">
        <v>2658</v>
      </c>
      <c r="C886" s="3" t="s">
        <v>2659</v>
      </c>
      <c r="D886" s="3" t="str">
        <f ca="1">IFERROR(__xludf.DUMMYFUNCTION("GOOGLETRANSLATE(A886,""fr"",""en"")"),"delimit")</f>
        <v>delimit</v>
      </c>
      <c r="E886" s="3" t="str">
        <f ca="1">IFERROR(__xludf.DUMMYFUNCTION("GOOGLETRANSLATE(B886,""fr"",""en"")"),"He demarcates the construction area with barriers.")</f>
        <v>He demarcates the construction area with barriers.</v>
      </c>
    </row>
    <row r="887" spans="1:5" x14ac:dyDescent="0.25">
      <c r="A887" s="2" t="s">
        <v>2660</v>
      </c>
      <c r="B887" s="2" t="s">
        <v>2661</v>
      </c>
      <c r="C887" s="3" t="s">
        <v>2662</v>
      </c>
      <c r="D887" s="3" t="str">
        <f ca="1">IFERROR(__xludf.DUMMYFUNCTION("GOOGLETRANSLATE(A887,""fr"",""en"")"),"alter")</f>
        <v>alter</v>
      </c>
      <c r="E887" s="3" t="str">
        <f ca="1">IFERROR(__xludf.DUMMYFUNCTION("GOOGLETRANSLATE(B887,""fr"",""en"")"),"It slightly alters the content of the report.")</f>
        <v>It slightly alters the content of the report.</v>
      </c>
    </row>
    <row r="888" spans="1:5" x14ac:dyDescent="0.25">
      <c r="A888" s="2" t="s">
        <v>2663</v>
      </c>
      <c r="B888" s="2" t="s">
        <v>2664</v>
      </c>
      <c r="C888" s="3" t="s">
        <v>2665</v>
      </c>
      <c r="D888" s="3" t="str">
        <f ca="1">IFERROR(__xludf.DUMMYFUNCTION("GOOGLETRANSLATE(A888,""fr"",""en"")"),"govern")</f>
        <v>govern</v>
      </c>
      <c r="E888" s="3" t="str">
        <f ca="1">IFERROR(__xludf.DUMMYFUNCTION("GOOGLETRANSLATE(B888,""fr"",""en"")"),"They strictly govern the rules of the game.")</f>
        <v>They strictly govern the rules of the game.</v>
      </c>
    </row>
    <row r="889" spans="1:5" x14ac:dyDescent="0.25">
      <c r="A889" s="2" t="s">
        <v>2666</v>
      </c>
      <c r="B889" s="2" t="s">
        <v>2667</v>
      </c>
      <c r="C889" s="3" t="s">
        <v>2668</v>
      </c>
      <c r="D889" s="3" t="str">
        <f ca="1">IFERROR(__xludf.DUMMYFUNCTION("GOOGLETRANSLATE(A889,""fr"",""en"")"),"reassess")</f>
        <v>reassess</v>
      </c>
      <c r="E889" s="3" t="str">
        <f ca="1">IFERROR(__xludf.DUMMYFUNCTION("GOOGLETRANSLATE(B889,""fr"",""en"")"),"We are reassessing our objectives for the next quarter.")</f>
        <v>We are reassessing our objectives for the next quarter.</v>
      </c>
    </row>
    <row r="890" spans="1:5" x14ac:dyDescent="0.25">
      <c r="A890" s="2" t="s">
        <v>2669</v>
      </c>
      <c r="B890" s="2" t="s">
        <v>2670</v>
      </c>
      <c r="C890" s="3" t="s">
        <v>2671</v>
      </c>
      <c r="D890" s="3" t="str">
        <f ca="1">IFERROR(__xludf.DUMMYFUNCTION("GOOGLETRANSLATE(A890,""fr"",""en"")"),"delegate")</f>
        <v>delegate</v>
      </c>
      <c r="E890" s="3" t="str">
        <f ca="1">IFERROR(__xludf.DUMMYFUNCTION("GOOGLETRANSLATE(B890,""fr"",""en"")"),"He delegates tasks to team members.")</f>
        <v>He delegates tasks to team members.</v>
      </c>
    </row>
    <row r="891" spans="1:5" x14ac:dyDescent="0.25">
      <c r="A891" s="2" t="s">
        <v>2672</v>
      </c>
      <c r="B891" s="2" t="s">
        <v>2673</v>
      </c>
      <c r="C891" s="3" t="s">
        <v>2674</v>
      </c>
      <c r="D891" s="3" t="str">
        <f ca="1">IFERROR(__xludf.DUMMYFUNCTION("GOOGLETRANSLATE(A891,""fr"",""en"")"),"compete")</f>
        <v>compete</v>
      </c>
      <c r="E891" s="3" t="str">
        <f ca="1">IFERROR(__xludf.DUMMYFUNCTION("GOOGLETRANSLATE(B891,""fr"",""en"")"),"She competes in the swimming competition.")</f>
        <v>She competes in the swimming competition.</v>
      </c>
    </row>
    <row r="892" spans="1:5" x14ac:dyDescent="0.25">
      <c r="A892" s="2" t="s">
        <v>2675</v>
      </c>
      <c r="B892" s="2" t="s">
        <v>2676</v>
      </c>
      <c r="C892" s="3" t="s">
        <v>2677</v>
      </c>
      <c r="D892" s="3" t="str">
        <f ca="1">IFERROR(__xludf.DUMMYFUNCTION("GOOGLETRANSLATE(A892,""fr"",""en"")"),"surround")</f>
        <v>surround</v>
      </c>
      <c r="E892" s="3" t="str">
        <f ca="1">IFERROR(__xludf.DUMMYFUNCTION("GOOGLETRANSLATE(B892,""fr"",""en"")"),"They surround the house with a fence for more privacy.")</f>
        <v>They surround the house with a fence for more privacy.</v>
      </c>
    </row>
    <row r="893" spans="1:5" x14ac:dyDescent="0.25">
      <c r="A893" s="2" t="s">
        <v>2678</v>
      </c>
      <c r="B893" s="2" t="s">
        <v>2679</v>
      </c>
      <c r="C893" s="3" t="s">
        <v>2680</v>
      </c>
      <c r="D893" s="3" t="str">
        <f ca="1">IFERROR(__xludf.DUMMYFUNCTION("GOOGLETRANSLATE(A893,""fr"",""en"")"),"normalize")</f>
        <v>normalize</v>
      </c>
      <c r="E893" s="3" t="str">
        <f ca="1">IFERROR(__xludf.DUMMYFUNCTION("GOOGLETRANSLATE(B893,""fr"",""en"")"),"We are normalizing our relations with our neighbors.")</f>
        <v>We are normalizing our relations with our neighbors.</v>
      </c>
    </row>
    <row r="894" spans="1:5" x14ac:dyDescent="0.25">
      <c r="A894" s="2" t="s">
        <v>2681</v>
      </c>
      <c r="B894" s="2" t="s">
        <v>2682</v>
      </c>
      <c r="C894" s="3" t="s">
        <v>2683</v>
      </c>
      <c r="D894" s="3" t="str">
        <f ca="1">IFERROR(__xludf.DUMMYFUNCTION("GOOGLETRANSLATE(A894,""fr"",""en"")"),"to erect")</f>
        <v>to erect</v>
      </c>
      <c r="E894" s="3" t="str">
        <f ca="1">IFERROR(__xludf.DUMMYFUNCTION("GOOGLETRANSLATE(B894,""fr"",""en"")"),"He erects a statue in honor of the local hero.")</f>
        <v>He erects a statue in honor of the local hero.</v>
      </c>
    </row>
    <row r="895" spans="1:5" x14ac:dyDescent="0.25">
      <c r="A895" s="2" t="s">
        <v>2684</v>
      </c>
      <c r="B895" s="2" t="s">
        <v>2685</v>
      </c>
      <c r="C895" s="3" t="s">
        <v>2686</v>
      </c>
      <c r="D895" s="3" t="str">
        <f ca="1">IFERROR(__xludf.DUMMYFUNCTION("GOOGLETRANSLATE(A895,""fr"",""en"")"),"strive")</f>
        <v>strive</v>
      </c>
      <c r="E895" s="3" t="str">
        <f ca="1">IFERROR(__xludf.DUMMYFUNCTION("GOOGLETRANSLATE(B895,""fr"",""en"")"),"She aspires to become a famous artist.")</f>
        <v>She aspires to become a famous artist.</v>
      </c>
    </row>
    <row r="896" spans="1:5" x14ac:dyDescent="0.25">
      <c r="A896" s="2" t="s">
        <v>2687</v>
      </c>
      <c r="B896" s="2" t="s">
        <v>2688</v>
      </c>
      <c r="C896" s="3" t="s">
        <v>2689</v>
      </c>
      <c r="D896" s="3" t="str">
        <f ca="1">IFERROR(__xludf.DUMMYFUNCTION("GOOGLETRANSLATE(A896,""fr"",""en"")"),"deviate")</f>
        <v>deviate</v>
      </c>
      <c r="E896" s="3" t="str">
        <f ca="1">IFERROR(__xludf.DUMMYFUNCTION("GOOGLETRANSLATE(B896,""fr"",""en"")"),"They deviate from their usual path to explore new places.")</f>
        <v>They deviate from their usual path to explore new places.</v>
      </c>
    </row>
    <row r="897" spans="1:5" x14ac:dyDescent="0.25">
      <c r="A897" s="2" t="s">
        <v>2690</v>
      </c>
      <c r="B897" s="2" t="s">
        <v>2691</v>
      </c>
      <c r="C897" s="3" t="s">
        <v>2692</v>
      </c>
      <c r="D897" s="3" t="str">
        <f ca="1">IFERROR(__xludf.DUMMYFUNCTION("GOOGLETRANSLATE(A897,""fr"",""en"")"),"reopen")</f>
        <v>reopen</v>
      </c>
      <c r="E897" s="3" t="str">
        <f ca="1">IFERROR(__xludf.DUMMYFUNCTION("GOOGLETRANSLATE(B897,""fr"",""en"")"),"We are reopening the doors after the renovation.")</f>
        <v>We are reopening the doors after the renovation.</v>
      </c>
    </row>
    <row r="898" spans="1:5" x14ac:dyDescent="0.25">
      <c r="A898" s="2" t="s">
        <v>2693</v>
      </c>
      <c r="B898" s="2" t="s">
        <v>2694</v>
      </c>
      <c r="C898" s="3" t="s">
        <v>2695</v>
      </c>
      <c r="D898" s="3" t="str">
        <f ca="1">IFERROR(__xludf.DUMMYFUNCTION("GOOGLETRANSLATE(A898,""fr"",""en"")"),"concern")</f>
        <v>concern</v>
      </c>
      <c r="E898" s="3" t="str">
        <f ca="1">IFERROR(__xludf.DUMMYFUNCTION("GOOGLETRANSLATE(B898,""fr"",""en"")"),"It concerns the whole team and not just a few members.")</f>
        <v>It concerns the whole team and not just a few members.</v>
      </c>
    </row>
    <row r="899" spans="1:5" x14ac:dyDescent="0.25">
      <c r="A899" s="2" t="s">
        <v>2696</v>
      </c>
      <c r="B899" s="2" t="s">
        <v>2697</v>
      </c>
      <c r="C899" s="3" t="s">
        <v>2698</v>
      </c>
      <c r="D899" s="3" t="str">
        <f ca="1">IFERROR(__xludf.DUMMYFUNCTION("GOOGLETRANSLATE(A899,""fr"",""en"")"),"perpetuate")</f>
        <v>perpetuate</v>
      </c>
      <c r="E899" s="3" t="str">
        <f ca="1">IFERROR(__xludf.DUMMYFUNCTION("GOOGLETRANSLATE(B899,""fr"",""en"")"),"She continues the family tradition every year.")</f>
        <v>She continues the family tradition every year.</v>
      </c>
    </row>
    <row r="900" spans="1:5" x14ac:dyDescent="0.25">
      <c r="A900" s="2" t="s">
        <v>2699</v>
      </c>
      <c r="B900" s="2" t="s">
        <v>2700</v>
      </c>
      <c r="C900" s="3" t="s">
        <v>2701</v>
      </c>
      <c r="D900" s="3" t="str">
        <f ca="1">IFERROR(__xludf.DUMMYFUNCTION("GOOGLETRANSLATE(A900,""fr"",""en"")"),"disperse")</f>
        <v>disperse</v>
      </c>
      <c r="E900" s="3" t="str">
        <f ca="1">IFERROR(__xludf.DUMMYFUNCTION("GOOGLETRANSLATE(B900,""fr"",""en"")"),"They scatter the ashes of the deceased in the m")</f>
        <v>They scatter the ashes of the deceased in the m</v>
      </c>
    </row>
    <row r="901" spans="1:5" x14ac:dyDescent="0.25">
      <c r="A901" s="2" t="s">
        <v>2702</v>
      </c>
      <c r="B901" s="2" t="s">
        <v>2703</v>
      </c>
      <c r="C901" s="3" t="s">
        <v>2704</v>
      </c>
      <c r="D901" s="3" t="str">
        <f ca="1">IFERROR(__xludf.DUMMYFUNCTION("GOOGLETRANSLATE(A901,""fr"",""en"")"),"to bother")</f>
        <v>to bother</v>
      </c>
      <c r="E901" s="3" t="str">
        <f ca="1">IFERROR(__xludf.DUMMYFUNCTION("GOOGLETRANSLATE(B901,""fr"",""en"")"),"His constant remarks annoy everyone.")</f>
        <v>His constant remarks annoy everyone.</v>
      </c>
    </row>
    <row r="902" spans="1:5" x14ac:dyDescent="0.25">
      <c r="A902" s="2" t="s">
        <v>2705</v>
      </c>
      <c r="B902" s="2" t="s">
        <v>2706</v>
      </c>
      <c r="C902" s="3" t="s">
        <v>2707</v>
      </c>
      <c r="D902" s="3" t="str">
        <f ca="1">IFERROR(__xludf.DUMMYFUNCTION("GOOGLETRANSLATE(A902,""fr"",""en"")"),"to sow")</f>
        <v>to sow</v>
      </c>
      <c r="E902" s="3" t="str">
        <f ca="1">IFERROR(__xludf.DUMMYFUNCTION("GOOGLETRANSLATE(B902,""fr"",""en"")"),"They sow seeds in the garden every spring.")</f>
        <v>They sow seeds in the garden every spring.</v>
      </c>
    </row>
    <row r="903" spans="1:5" x14ac:dyDescent="0.25">
      <c r="A903" s="2" t="s">
        <v>2708</v>
      </c>
      <c r="B903" s="2" t="s">
        <v>2709</v>
      </c>
      <c r="C903" s="3" t="s">
        <v>2710</v>
      </c>
      <c r="D903" s="3" t="str">
        <f ca="1">IFERROR(__xludf.DUMMYFUNCTION("GOOGLETRANSLATE(A903,""fr"",""en"")"),"harden")</f>
        <v>harden</v>
      </c>
      <c r="E903" s="3" t="str">
        <f ca="1">IFERROR(__xludf.DUMMYFUNCTION("GOOGLETRANSLATE(B903,""fr"",""en"")"),"The cement begins to harden quickly.")</f>
        <v>The cement begins to harden quickly.</v>
      </c>
    </row>
    <row r="904" spans="1:5" x14ac:dyDescent="0.25">
      <c r="A904" s="2" t="s">
        <v>2711</v>
      </c>
      <c r="B904" s="2" t="s">
        <v>2712</v>
      </c>
      <c r="C904" s="3" t="s">
        <v>2713</v>
      </c>
      <c r="D904" s="3" t="str">
        <f ca="1">IFERROR(__xludf.DUMMYFUNCTION("GOOGLETRANSLATE(A904,""fr"",""en"")"),"disappoint")</f>
        <v>disappoint</v>
      </c>
      <c r="E904" s="3" t="str">
        <f ca="1">IFERROR(__xludf.DUMMYFUNCTION("GOOGLETRANSLATE(B904,""fr"",""en"")"),"They are disappointed with the results of the match.")</f>
        <v>They are disappointed with the results of the match.</v>
      </c>
    </row>
    <row r="905" spans="1:5" x14ac:dyDescent="0.25">
      <c r="A905" s="2" t="s">
        <v>2714</v>
      </c>
      <c r="B905" s="2" t="s">
        <v>2715</v>
      </c>
      <c r="C905" s="3" t="s">
        <v>2716</v>
      </c>
      <c r="D905" s="3" t="str">
        <f ca="1">IFERROR(__xludf.DUMMYFUNCTION("GOOGLETRANSLATE(A905,""fr"",""en"")"),"derive")</f>
        <v>derive</v>
      </c>
      <c r="E905" s="3" t="str">
        <f ca="1">IFERROR(__xludf.DUMMYFUNCTION("GOOGLETRANSLATE(B905,""fr"",""en"")"),"The river drifts slowly towards the ocean.")</f>
        <v>The river drifts slowly towards the ocean.</v>
      </c>
    </row>
    <row r="906" spans="1:5" x14ac:dyDescent="0.25">
      <c r="A906" s="2" t="s">
        <v>2717</v>
      </c>
      <c r="B906" s="2" t="s">
        <v>2718</v>
      </c>
      <c r="C906" s="3" t="s">
        <v>2719</v>
      </c>
      <c r="D906" s="3" t="str">
        <f ca="1">IFERROR(__xludf.DUMMYFUNCTION("GOOGLETRANSLATE(A906,""fr"",""en"")"),"shake")</f>
        <v>shake</v>
      </c>
      <c r="E906" s="3" t="str">
        <f ca="1">IFERROR(__xludf.DUMMYFUNCTION("GOOGLETRANSLATE(B906,""fr"",""en"")"),"He waves his arms to attract attention.")</f>
        <v>He waves his arms to attract attention.</v>
      </c>
    </row>
    <row r="907" spans="1:5" x14ac:dyDescent="0.25">
      <c r="A907" s="2" t="s">
        <v>2720</v>
      </c>
      <c r="B907" s="2" t="s">
        <v>2721</v>
      </c>
      <c r="C907" s="3" t="s">
        <v>2722</v>
      </c>
      <c r="D907" s="3" t="str">
        <f ca="1">IFERROR(__xludf.DUMMYFUNCTION("GOOGLETRANSLATE(A907,""fr"",""en"")"),"user")</f>
        <v>user</v>
      </c>
      <c r="E907" s="3" t="str">
        <f ca="1">IFERROR(__xludf.DUMMYFUNCTION("GOOGLETRANSLATE(B907,""fr"",""en"")"),"She wears out her shoes walking all day.")</f>
        <v>She wears out her shoes walking all day.</v>
      </c>
    </row>
    <row r="908" spans="1:5" x14ac:dyDescent="0.25">
      <c r="A908" s="2" t="s">
        <v>2723</v>
      </c>
      <c r="B908" s="2" t="s">
        <v>2724</v>
      </c>
      <c r="C908" s="3" t="s">
        <v>2725</v>
      </c>
      <c r="D908" s="3" t="str">
        <f ca="1">IFERROR(__xludf.DUMMYFUNCTION("GOOGLETRANSLATE(A908,""fr"",""en"")"),"center")</f>
        <v>center</v>
      </c>
      <c r="E908" s="3" t="str">
        <f ca="1">IFERROR(__xludf.DUMMYFUNCTION("GOOGLETRANSLATE(B908,""fr"",""en"")"),"We focus our efforts on product quality.")</f>
        <v>We focus our efforts on product quality.</v>
      </c>
    </row>
    <row r="909" spans="1:5" x14ac:dyDescent="0.25">
      <c r="A909" s="2" t="s">
        <v>2726</v>
      </c>
      <c r="B909" s="2" t="s">
        <v>2727</v>
      </c>
      <c r="C909" s="3" t="s">
        <v>2728</v>
      </c>
      <c r="D909" s="3" t="str">
        <f ca="1">IFERROR(__xludf.DUMMYFUNCTION("GOOGLETRANSLATE(A909,""fr"",""en"")"),"dismantle")</f>
        <v>dismantle</v>
      </c>
      <c r="E909" s="3" t="str">
        <f ca="1">IFERROR(__xludf.DUMMYFUNCTION("GOOGLETRANSLATE(B909,""fr"",""en"")"),"They decide to dismantle the old factory.")</f>
        <v>They decide to dismantle the old factory.</v>
      </c>
    </row>
    <row r="910" spans="1:5" x14ac:dyDescent="0.25">
      <c r="A910" s="2" t="s">
        <v>2729</v>
      </c>
      <c r="B910" s="2" t="s">
        <v>2730</v>
      </c>
      <c r="C910" s="3" t="s">
        <v>2731</v>
      </c>
      <c r="D910" s="3" t="str">
        <f ca="1">IFERROR(__xludf.DUMMYFUNCTION("GOOGLETRANSLATE(A910,""fr"",""en"")"),"immobilize")</f>
        <v>immobilize</v>
      </c>
      <c r="E910" s="3" t="str">
        <f ca="1">IFERROR(__xludf.DUMMYFUNCTION("GOOGLETRANSLATE(B910,""fr"",""en"")"),"The breakdown immobilizes all machines.")</f>
        <v>The breakdown immobilizes all machines.</v>
      </c>
    </row>
    <row r="911" spans="1:5" x14ac:dyDescent="0.25">
      <c r="A911" s="2" t="s">
        <v>2732</v>
      </c>
      <c r="B911" s="2" t="s">
        <v>2733</v>
      </c>
      <c r="C911" s="3" t="s">
        <v>2734</v>
      </c>
      <c r="D911" s="3" t="str">
        <f ca="1">IFERROR(__xludf.DUMMYFUNCTION("GOOGLETRANSLATE(A911,""fr"",""en"")"),"switch")</f>
        <v>switch</v>
      </c>
      <c r="E911" s="3" t="str">
        <f ca="1">IFERROR(__xludf.DUMMYFUNCTION("GOOGLETRANSLATE(B911,""fr"",""en"")"),"They have to switch between two trains to reach their destination.")</f>
        <v>They have to switch between two trains to reach their destination.</v>
      </c>
    </row>
    <row r="912" spans="1:5" x14ac:dyDescent="0.25">
      <c r="A912" s="2" t="s">
        <v>2735</v>
      </c>
      <c r="B912" s="2" t="s">
        <v>2736</v>
      </c>
      <c r="C912" s="3" t="s">
        <v>2737</v>
      </c>
      <c r="D912" s="3" t="str">
        <f ca="1">IFERROR(__xludf.DUMMYFUNCTION("GOOGLETRANSLATE(A912,""fr"",""en"")"),"to push in")</f>
        <v>to push in</v>
      </c>
      <c r="E912" s="3" t="str">
        <f ca="1">IFERROR(__xludf.DUMMYFUNCTION("GOOGLETRANSLATE(B912,""fr"",""en"")"),"He hammers the nail into the wall.")</f>
        <v>He hammers the nail into the wall.</v>
      </c>
    </row>
    <row r="913" spans="1:5" x14ac:dyDescent="0.25">
      <c r="A913" s="2" t="s">
        <v>2738</v>
      </c>
      <c r="B913" s="2" t="s">
        <v>2739</v>
      </c>
      <c r="C913" s="3" t="s">
        <v>2740</v>
      </c>
      <c r="D913" s="3" t="str">
        <f ca="1">IFERROR(__xludf.DUMMYFUNCTION("GOOGLETRANSLATE(A913,""fr"",""en"")"),"to stem")</f>
        <v>to stem</v>
      </c>
      <c r="E913" s="3" t="str">
        <f ca="1">IFERROR(__xludf.DUMMYFUNCTION("GOOGLETRANSLATE(B913,""fr"",""en"")"),"She is trying to stem the spread of the rumor.")</f>
        <v>She is trying to stem the spread of the rumor.</v>
      </c>
    </row>
    <row r="914" spans="1:5" x14ac:dyDescent="0.25">
      <c r="A914" s="2" t="s">
        <v>2741</v>
      </c>
      <c r="B914" s="2" t="s">
        <v>2742</v>
      </c>
      <c r="C914" s="3" t="s">
        <v>2743</v>
      </c>
      <c r="D914" s="3" t="str">
        <f ca="1">IFERROR(__xludf.DUMMYFUNCTION("GOOGLETRANSLATE(A914,""fr"",""en"")"),"conform")</f>
        <v>conform</v>
      </c>
      <c r="E914" s="3" t="str">
        <f ca="1">IFERROR(__xludf.DUMMYFUNCTION("GOOGLETRANSLATE(B914,""fr"",""en"")"),"We must comply with safety rules.")</f>
        <v>We must comply with safety rules.</v>
      </c>
    </row>
    <row r="915" spans="1:5" x14ac:dyDescent="0.25">
      <c r="A915" s="2" t="s">
        <v>2744</v>
      </c>
      <c r="B915" s="2" t="s">
        <v>2745</v>
      </c>
      <c r="C915" s="3" t="s">
        <v>2746</v>
      </c>
      <c r="D915" s="3" t="str">
        <f ca="1">IFERROR(__xludf.DUMMYFUNCTION("GOOGLETRANSLATE(A915,""fr"",""en"")"),"sew")</f>
        <v>sew</v>
      </c>
      <c r="E915" s="3" t="str">
        <f ca="1">IFERROR(__xludf.DUMMYFUNCTION("GOOGLETRANSLATE(B915,""fr"",""en"")"),"She sews a new dress for the evening.")</f>
        <v>She sews a new dress for the evening.</v>
      </c>
    </row>
    <row r="916" spans="1:5" x14ac:dyDescent="0.25">
      <c r="A916" s="2" t="s">
        <v>2747</v>
      </c>
      <c r="B916" s="2" t="s">
        <v>2748</v>
      </c>
      <c r="C916" s="3" t="s">
        <v>2749</v>
      </c>
      <c r="D916" s="3" t="str">
        <f ca="1">IFERROR(__xludf.DUMMYFUNCTION("GOOGLETRANSLATE(A916,""fr"",""en"")"),"to rejoice")</f>
        <v>to rejoice</v>
      </c>
      <c r="E916" s="3" t="str">
        <f ca="1">IFERROR(__xludf.DUMMYFUNCTION("GOOGLETRANSLATE(B916,""fr"",""en"")"),"The good result makes us all happy.")</f>
        <v>The good result makes us all happy.</v>
      </c>
    </row>
    <row r="917" spans="1:5" x14ac:dyDescent="0.25">
      <c r="A917" s="2" t="s">
        <v>2750</v>
      </c>
      <c r="B917" s="2" t="s">
        <v>2751</v>
      </c>
      <c r="C917" s="3" t="s">
        <v>2752</v>
      </c>
      <c r="D917" s="3" t="str">
        <f ca="1">IFERROR(__xludf.DUMMYFUNCTION("GOOGLETRANSLATE(A917,""fr"",""en"")"),"excite")</f>
        <v>excite</v>
      </c>
      <c r="E917" s="3" t="str">
        <f ca="1">IFERROR(__xludf.DUMMYFUNCTION("GOOGLETRANSLATE(B917,""fr"",""en"")"),"The president's speech excites the crowd.")</f>
        <v>The president's speech excites the crowd.</v>
      </c>
    </row>
    <row r="918" spans="1:5" x14ac:dyDescent="0.25">
      <c r="A918" s="2" t="s">
        <v>2753</v>
      </c>
      <c r="B918" s="2" t="s">
        <v>2754</v>
      </c>
      <c r="C918" s="3" t="s">
        <v>2755</v>
      </c>
      <c r="D918" s="3" t="str">
        <f ca="1">IFERROR(__xludf.DUMMYFUNCTION("GOOGLETRANSLATE(A918,""fr"",""en"")"),"prefer")</f>
        <v>prefer</v>
      </c>
      <c r="E918" s="3" t="str">
        <f ca="1">IFERROR(__xludf.DUMMYFUNCTION("GOOGLETRANSLATE(B918,""fr"",""en"")"),"I prefer tea to coffee.")</f>
        <v>I prefer tea to coffee.</v>
      </c>
    </row>
    <row r="919" spans="1:5" x14ac:dyDescent="0.25">
      <c r="A919" s="2" t="s">
        <v>2756</v>
      </c>
      <c r="B919" s="2" t="s">
        <v>2757</v>
      </c>
      <c r="C919" s="3" t="s">
        <v>2758</v>
      </c>
      <c r="D919" s="3" t="str">
        <f ca="1">IFERROR(__xludf.DUMMYFUNCTION("GOOGLETRANSLATE(A919,""fr"",""en"")"),"get used to")</f>
        <v>get used to</v>
      </c>
      <c r="E919" s="3" t="str">
        <f ca="1">IFERROR(__xludf.DUMMYFUNCTION("GOOGLETRANSLATE(B919,""fr"",""en"")"),"He is slowly getting used to his new surroundings.")</f>
        <v>He is slowly getting used to his new surroundings.</v>
      </c>
    </row>
    <row r="920" spans="1:5" x14ac:dyDescent="0.25">
      <c r="A920" s="2" t="s">
        <v>2759</v>
      </c>
      <c r="B920" s="2" t="s">
        <v>2760</v>
      </c>
      <c r="C920" s="3" t="s">
        <v>2761</v>
      </c>
      <c r="D920" s="3" t="str">
        <f ca="1">IFERROR(__xludf.DUMMYFUNCTION("GOOGLETRANSLATE(A920,""fr"",""en"")"),"to need")</f>
        <v>to need</v>
      </c>
      <c r="E920" s="3" t="str">
        <f ca="1">IFERROR(__xludf.DUMMYFUNCTION("GOOGLETRANSLATE(B920,""fr"",""en"")"),"It takes courage to face this situation.")</f>
        <v>It takes courage to face this situation.</v>
      </c>
    </row>
    <row r="921" spans="1:5" x14ac:dyDescent="0.25">
      <c r="A921" s="2" t="s">
        <v>2762</v>
      </c>
      <c r="B921" s="2" t="s">
        <v>2763</v>
      </c>
      <c r="C921" s="3" t="s">
        <v>2764</v>
      </c>
      <c r="D921" s="3" t="str">
        <f ca="1">IFERROR(__xludf.DUMMYFUNCTION("GOOGLETRANSLATE(A921,""fr"",""en"")"),"destabilize")</f>
        <v>destabilize</v>
      </c>
      <c r="E921" s="3" t="str">
        <f ca="1">IFERROR(__xludf.DUMMYFUNCTION("GOOGLETRANSLATE(B921,""fr"",""en"")"),"Criticism can unsettle even the strongest.")</f>
        <v>Criticism can unsettle even the strongest.</v>
      </c>
    </row>
    <row r="922" spans="1:5" x14ac:dyDescent="0.25">
      <c r="A922" s="2" t="s">
        <v>2765</v>
      </c>
      <c r="B922" s="2" t="s">
        <v>2766</v>
      </c>
      <c r="C922" s="3" t="s">
        <v>2767</v>
      </c>
      <c r="D922" s="3" t="str">
        <f ca="1">IFERROR(__xludf.DUMMYFUNCTION("GOOGLETRANSLATE(A922,""fr"",""en"")"),"to deviate")</f>
        <v>to deviate</v>
      </c>
      <c r="E922" s="3" t="str">
        <f ca="1">IFERROR(__xludf.DUMMYFUNCTION("GOOGLETRANSLATE(B922,""fr"",""en"")"),"They decide to break the rule this time.")</f>
        <v>They decide to break the rule this time.</v>
      </c>
    </row>
    <row r="923" spans="1:5" x14ac:dyDescent="0.25">
      <c r="A923" s="2" t="s">
        <v>2768</v>
      </c>
      <c r="B923" s="2" t="s">
        <v>2769</v>
      </c>
      <c r="C923" s="3" t="s">
        <v>2770</v>
      </c>
      <c r="D923" s="3" t="str">
        <f ca="1">IFERROR(__xludf.DUMMYFUNCTION("GOOGLETRANSLATE(A923,""fr"",""en"")"),"to perfect")</f>
        <v>to perfect</v>
      </c>
      <c r="E923" s="3" t="str">
        <f ca="1">IFERROR(__xludf.DUMMYFUNCTION("GOOGLETRANSLATE(B923,""fr"",""en"")"),"She prepared her speech perfectly.")</f>
        <v>She prepared her speech perfectly.</v>
      </c>
    </row>
    <row r="924" spans="1:5" x14ac:dyDescent="0.25">
      <c r="A924" s="2" t="s">
        <v>2771</v>
      </c>
      <c r="B924" s="2" t="s">
        <v>2772</v>
      </c>
      <c r="C924" s="3" t="s">
        <v>2773</v>
      </c>
      <c r="D924" s="3" t="str">
        <f ca="1">IFERROR(__xludf.DUMMYFUNCTION("GOOGLETRANSLATE(A924,""fr"",""en"")"),"prevail")</f>
        <v>prevail</v>
      </c>
      <c r="E924" s="3" t="str">
        <f ca="1">IFERROR(__xludf.DUMMYFUNCTION("GOOGLETRANSLATE(B924,""fr"",""en"")"),"This principle prevails in this area.")</f>
        <v>This principle prevails in this area.</v>
      </c>
    </row>
    <row r="925" spans="1:5" x14ac:dyDescent="0.25">
      <c r="A925" s="2" t="s">
        <v>2774</v>
      </c>
      <c r="B925" s="2" t="s">
        <v>2775</v>
      </c>
      <c r="C925" s="3" t="s">
        <v>2776</v>
      </c>
      <c r="D925" s="3" t="str">
        <f ca="1">IFERROR(__xludf.DUMMYFUNCTION("GOOGLETRANSLATE(A925,""fr"",""en"")"),"reign")</f>
        <v>reign</v>
      </c>
      <c r="E925" s="3" t="str">
        <f ca="1">IFERROR(__xludf.DUMMYFUNCTION("GOOGLETRANSLATE(B925,""fr"",""en"")"),"Wisdom reigns in this community.")</f>
        <v>Wisdom reigns in this community.</v>
      </c>
    </row>
    <row r="926" spans="1:5" x14ac:dyDescent="0.25">
      <c r="A926" s="2" t="s">
        <v>2777</v>
      </c>
      <c r="B926" s="2" t="s">
        <v>2778</v>
      </c>
      <c r="C926" s="3" t="s">
        <v>2779</v>
      </c>
      <c r="D926" s="3" t="str">
        <f ca="1">IFERROR(__xludf.DUMMYFUNCTION("GOOGLETRANSLATE(A926,""fr"",""en"")"),"to fall asleep")</f>
        <v>to fall asleep</v>
      </c>
      <c r="E926" s="3" t="str">
        <f ca="1">IFERROR(__xludf.DUMMYFUNCTION("GOOGLETRANSLATE(B926,""fr"",""en"")"),"Sleep puts him to sleep as soon as he closes his eyes.")</f>
        <v>Sleep puts him to sleep as soon as he closes his eyes.</v>
      </c>
    </row>
    <row r="927" spans="1:5" x14ac:dyDescent="0.25">
      <c r="A927" s="2" t="s">
        <v>2780</v>
      </c>
      <c r="B927" s="2" t="s">
        <v>2781</v>
      </c>
      <c r="C927" s="3" t="s">
        <v>2782</v>
      </c>
      <c r="D927" s="3" t="str">
        <f ca="1">IFERROR(__xludf.DUMMYFUNCTION("GOOGLETRANSLATE(A927,""fr"",""en"")"),"to get stuck")</f>
        <v>to get stuck</v>
      </c>
      <c r="E927" s="3" t="str">
        <f ca="1">IFERROR(__xludf.DUMMYFUNCTION("GOOGLETRANSLATE(B927,""fr"",""en"")"),"The fabric is stuck in the sewing machine.")</f>
        <v>The fabric is stuck in the sewing machine.</v>
      </c>
    </row>
    <row r="928" spans="1:5" x14ac:dyDescent="0.25">
      <c r="A928" s="2" t="s">
        <v>2783</v>
      </c>
      <c r="B928" s="2" t="s">
        <v>2784</v>
      </c>
      <c r="C928" s="3" t="s">
        <v>2785</v>
      </c>
      <c r="D928" s="3" t="str">
        <f ca="1">IFERROR(__xludf.DUMMYFUNCTION("GOOGLETRANSLATE(A928,""fr"",""en"")"),"contemplate")</f>
        <v>contemplate</v>
      </c>
      <c r="E928" s="3" t="str">
        <f ca="1">IFERROR(__xludf.DUMMYFUNCTION("GOOGLETRANSLATE(B928,""fr"",""en"")"),"He contemplates the sunset over the sea.")</f>
        <v>He contemplates the sunset over the sea.</v>
      </c>
    </row>
    <row r="929" spans="1:5" x14ac:dyDescent="0.25">
      <c r="A929" s="2" t="s">
        <v>2786</v>
      </c>
      <c r="B929" s="2" t="s">
        <v>2787</v>
      </c>
      <c r="C929" s="3" t="s">
        <v>2788</v>
      </c>
      <c r="D929" s="3" t="str">
        <f ca="1">IFERROR(__xludf.DUMMYFUNCTION("GOOGLETRANSLATE(A929,""fr"",""en"")"),"plead")</f>
        <v>plead</v>
      </c>
      <c r="E929" s="3" t="str">
        <f ca="1">IFERROR(__xludf.DUMMYFUNCTION("GOOGLETRANSLATE(B929,""fr"",""en"")"),"The lawyer pleads his client's case with passion.")</f>
        <v>The lawyer pleads his client's case with passion.</v>
      </c>
    </row>
    <row r="930" spans="1:5" x14ac:dyDescent="0.25">
      <c r="A930" s="2" t="s">
        <v>2789</v>
      </c>
      <c r="B930" s="2" t="s">
        <v>2790</v>
      </c>
      <c r="C930" s="3" t="s">
        <v>2791</v>
      </c>
      <c r="D930" s="3" t="str">
        <f ca="1">IFERROR(__xludf.DUMMYFUNCTION("GOOGLETRANSLATE(A930,""fr"",""en"")"),"hate")</f>
        <v>hate</v>
      </c>
      <c r="E930" s="3" t="str">
        <f ca="1">IFERROR(__xludf.DUMMYFUNCTION("GOOGLETRANSLATE(B930,""fr"",""en"")"),"She hates arguments.")</f>
        <v>She hates arguments.</v>
      </c>
    </row>
    <row r="931" spans="1:5" x14ac:dyDescent="0.25">
      <c r="A931" s="2" t="s">
        <v>2792</v>
      </c>
      <c r="B931" s="2" t="s">
        <v>2793</v>
      </c>
      <c r="C931" s="3" t="s">
        <v>2794</v>
      </c>
      <c r="D931" s="3" t="str">
        <f ca="1">IFERROR(__xludf.DUMMYFUNCTION("GOOGLETRANSLATE(A931,""fr"",""en"")"),"accommodate")</f>
        <v>accommodate</v>
      </c>
      <c r="E931" s="3" t="str">
        <f ca="1">IFERROR(__xludf.DUMMYFUNCTION("GOOGLETRANSLATE(B931,""fr"",""en"")"),"They accommodate guests with additional seating.")</f>
        <v>They accommodate guests with additional seating.</v>
      </c>
    </row>
    <row r="932" spans="1:5" x14ac:dyDescent="0.25">
      <c r="A932" s="2" t="s">
        <v>2795</v>
      </c>
      <c r="B932" s="2" t="s">
        <v>2796</v>
      </c>
      <c r="C932" s="3" t="s">
        <v>2797</v>
      </c>
      <c r="D932" s="3" t="str">
        <f ca="1">IFERROR(__xludf.DUMMYFUNCTION("GOOGLETRANSLATE(A932,""fr"",""en"")"),"pick")</f>
        <v>pick</v>
      </c>
      <c r="E932" s="3" t="str">
        <f ca="1">IFERROR(__xludf.DUMMYFUNCTION("GOOGLETRANSLATE(B932,""fr"",""en"")"),"She picks wildflowers in the field.")</f>
        <v>She picks wildflowers in the field.</v>
      </c>
    </row>
    <row r="933" spans="1:5" x14ac:dyDescent="0.25">
      <c r="A933" s="2" t="s">
        <v>2798</v>
      </c>
      <c r="B933" s="2" t="s">
        <v>2799</v>
      </c>
      <c r="C933" s="3" t="s">
        <v>2800</v>
      </c>
      <c r="D933" s="3" t="str">
        <f ca="1">IFERROR(__xludf.DUMMYFUNCTION("GOOGLETRANSLATE(A933,""fr"",""en"")"),"rain")</f>
        <v>rain</v>
      </c>
      <c r="E933" s="3" t="str">
        <f ca="1">IFERROR(__xludf.DUMMYFUNCTION("GOOGLETRANSLATE(B933,""fr"",""en"")"),"It's raining cats and dogs outside.")</f>
        <v>It's raining cats and dogs outside.</v>
      </c>
    </row>
    <row r="934" spans="1:5" x14ac:dyDescent="0.25">
      <c r="A934" s="2" t="s">
        <v>2801</v>
      </c>
      <c r="B934" s="2" t="s">
        <v>2802</v>
      </c>
      <c r="C934" s="3" t="s">
        <v>2803</v>
      </c>
      <c r="D934" s="3" t="str">
        <f ca="1">IFERROR(__xludf.DUMMYFUNCTION("GOOGLETRANSLATE(A934,""fr"",""en"")"),"boil")</f>
        <v>boil</v>
      </c>
      <c r="E934" s="3" t="str">
        <f ca="1">IFERROR(__xludf.DUMMYFUNCTION("GOOGLETRANSLATE(B934,""fr"",""en"")"),"The water begins to boil in the pot.")</f>
        <v>The water begins to boil in the pot.</v>
      </c>
    </row>
    <row r="935" spans="1:5" x14ac:dyDescent="0.25">
      <c r="A935" s="2" t="s">
        <v>2804</v>
      </c>
      <c r="B935" s="2" t="s">
        <v>2805</v>
      </c>
      <c r="C935" s="3" t="s">
        <v>2806</v>
      </c>
      <c r="D935" s="3" t="str">
        <f ca="1">IFERROR(__xludf.DUMMYFUNCTION("GOOGLETRANSLATE(A935,""fr"",""en"")"),"console")</f>
        <v>console</v>
      </c>
      <c r="E935" s="3" t="str">
        <f ca="1">IFERROR(__xludf.DUMMYFUNCTION("GOOGLETRANSLATE(B935,""fr"",""en"")"),"She consoles her friend after his breakup.")</f>
        <v>She consoles her friend after his breakup.</v>
      </c>
    </row>
    <row r="936" spans="1:5" x14ac:dyDescent="0.25">
      <c r="A936" s="2" t="s">
        <v>2807</v>
      </c>
      <c r="B936" s="2" t="s">
        <v>2808</v>
      </c>
      <c r="C936" s="3" t="s">
        <v>2809</v>
      </c>
      <c r="D936" s="3" t="str">
        <f ca="1">IFERROR(__xludf.DUMMYFUNCTION("GOOGLETRANSLATE(A936,""fr"",""en"")"),"repentance")</f>
        <v>repentance</v>
      </c>
      <c r="E936" s="3" t="str">
        <f ca="1">IFERROR(__xludf.DUMMYFUNCTION("GOOGLETRANSLATE(B936,""fr"",""en"")"),"He repents of his past actions.")</f>
        <v>He repents of his past actions.</v>
      </c>
    </row>
    <row r="937" spans="1:5" x14ac:dyDescent="0.25">
      <c r="A937" s="2" t="s">
        <v>2810</v>
      </c>
      <c r="B937" s="2" t="s">
        <v>2811</v>
      </c>
      <c r="C937" s="3" t="s">
        <v>2812</v>
      </c>
      <c r="D937" s="3" t="str">
        <f ca="1">IFERROR(__xludf.DUMMYFUNCTION("GOOGLETRANSLATE(A937,""fr"",""en"")"),"sit down")</f>
        <v>sit down</v>
      </c>
      <c r="E937" s="3" t="str">
        <f ca="1">IFERROR(__xludf.DUMMYFUNCTION("GOOGLETRANSLATE(B937,""fr"",""en"")"),"I sit on the bench to rest.")</f>
        <v>I sit on the bench to rest.</v>
      </c>
    </row>
    <row r="938" spans="1:5" x14ac:dyDescent="0.25">
      <c r="A938" s="2" t="s">
        <v>2813</v>
      </c>
      <c r="B938" s="2" t="s">
        <v>2814</v>
      </c>
      <c r="C938" s="3" t="s">
        <v>2815</v>
      </c>
      <c r="D938" s="3" t="str">
        <f ca="1">IFERROR(__xludf.DUMMYFUNCTION("GOOGLETRANSLATE(A938,""fr"",""en"")"),"bet")</f>
        <v>bet</v>
      </c>
      <c r="E938" s="3" t="str">
        <f ca="1">IFERROR(__xludf.DUMMYFUNCTION("GOOGLETRANSLATE(B938,""fr"",""en"")"),"They are betting big on this project.")</f>
        <v>They are betting big on this project.</v>
      </c>
    </row>
    <row r="939" spans="1:5" x14ac:dyDescent="0.25">
      <c r="A939" s="2" t="s">
        <v>2816</v>
      </c>
      <c r="B939" s="2" t="s">
        <v>2817</v>
      </c>
      <c r="C939" s="3" t="s">
        <v>2818</v>
      </c>
      <c r="D939" s="3" t="str">
        <f ca="1">IFERROR(__xludf.DUMMYFUNCTION("GOOGLETRANSLATE(A939,""fr"",""en"")"),"to bloom")</f>
        <v>to bloom</v>
      </c>
      <c r="E939" s="3" t="str">
        <f ca="1">IFERROR(__xludf.DUMMYFUNCTION("GOOGLETRANSLATE(B939,""fr"",""en"")"),"Roses begin to bloom in spring.")</f>
        <v>Roses begin to bloom in spring.</v>
      </c>
    </row>
    <row r="940" spans="1:5" x14ac:dyDescent="0.25">
      <c r="A940" s="2" t="s">
        <v>2819</v>
      </c>
      <c r="B940" s="2" t="s">
        <v>2820</v>
      </c>
      <c r="C940" s="3" t="s">
        <v>2821</v>
      </c>
      <c r="D940" s="3" t="str">
        <f ca="1">IFERROR(__xludf.DUMMYFUNCTION("GOOGLETRANSLATE(A940,""fr"",""en"")"),"snow")</f>
        <v>snow</v>
      </c>
      <c r="E940" s="3" t="str">
        <f ca="1">IFERROR(__xludf.DUMMYFUNCTION("GOOGLETRANSLATE(B940,""fr"",""en"")"),"It is snowing and covering the landscape with a white blanket.")</f>
        <v>It is snowing and covering the landscape with a white blanket.</v>
      </c>
    </row>
    <row r="941" spans="1:5" x14ac:dyDescent="0.25">
      <c r="A941" s="2" t="s">
        <v>2822</v>
      </c>
      <c r="B941" s="2" t="s">
        <v>2823</v>
      </c>
      <c r="C941" s="3" t="s">
        <v>2824</v>
      </c>
      <c r="D941" s="3" t="str">
        <f ca="1">IFERROR(__xludf.DUMMYFUNCTION("GOOGLETRANSLATE(A941,""fr"",""en"")"),"peel")</f>
        <v>peel</v>
      </c>
      <c r="E941" s="3" t="str">
        <f ca="1">IFERROR(__xludf.DUMMYFUNCTION("GOOGLETRANSLATE(B941,""fr"",""en"")"),"She peels the potatoes before cooking them.")</f>
        <v>She peels the potatoes before cooking them.</v>
      </c>
    </row>
    <row r="942" spans="1:5" x14ac:dyDescent="0.25">
      <c r="A942" s="2" t="s">
        <v>2825</v>
      </c>
      <c r="B942" s="2" t="s">
        <v>2826</v>
      </c>
      <c r="C942" s="3" t="s">
        <v>2827</v>
      </c>
      <c r="D942" s="3" t="str">
        <f ca="1">IFERROR(__xludf.DUMMYFUNCTION("GOOGLETRANSLATE(A942,""fr"",""en"")"),"to bequeath")</f>
        <v>to bequeath</v>
      </c>
      <c r="E942" s="3" t="str">
        <f ca="1">IFERROR(__xludf.DUMMYFUNCTION("GOOGLETRANSLATE(B942,""fr"",""en"")"),"He bequeaths his property to his children.")</f>
        <v>He bequeaths his property to his children.</v>
      </c>
    </row>
    <row r="943" spans="1:5" x14ac:dyDescent="0.25">
      <c r="A943" s="2" t="s">
        <v>2828</v>
      </c>
      <c r="B943" s="2" t="s">
        <v>2829</v>
      </c>
      <c r="C943" s="3" t="s">
        <v>2830</v>
      </c>
      <c r="D943" s="3" t="str">
        <f ca="1">IFERROR(__xludf.DUMMYFUNCTION("GOOGLETRANSLATE(A943,""fr"",""en"")"),"fry")</f>
        <v>fry</v>
      </c>
      <c r="E943" s="3" t="str">
        <f ca="1">IFERROR(__xludf.DUMMYFUNCTION("GOOGLETRANSLATE(B943,""fr"",""en"")"),"They fry the fish in hot oil.")</f>
        <v>They fry the fish in hot oil.</v>
      </c>
    </row>
    <row r="944" spans="1:5" x14ac:dyDescent="0.25">
      <c r="A944" s="2" t="s">
        <v>2831</v>
      </c>
      <c r="B944" s="2" t="s">
        <v>2832</v>
      </c>
      <c r="C944" s="3" t="s">
        <v>2833</v>
      </c>
      <c r="D944" s="3" t="str">
        <f ca="1">IFERROR(__xludf.DUMMYFUNCTION("GOOGLETRANSLATE(A944,""fr"",""en"")"),"to postpone")</f>
        <v>to postpone</v>
      </c>
      <c r="E944" s="3" t="str">
        <f ca="1">IFERROR(__xludf.DUMMYFUNCTION("GOOGLETRANSLATE(B944,""fr"",""en"")"),"We must postpone the meeting until further notice.")</f>
        <v>We must postpone the meeting until further notice.</v>
      </c>
    </row>
    <row r="945" spans="1:5" x14ac:dyDescent="0.25">
      <c r="A945" s="2" t="s">
        <v>2834</v>
      </c>
      <c r="B945" s="2" t="s">
        <v>2835</v>
      </c>
      <c r="C945" s="3" t="s">
        <v>2836</v>
      </c>
      <c r="D945" s="3" t="str">
        <f ca="1">IFERROR(__xludf.DUMMYFUNCTION("GOOGLETRANSLATE(A945,""fr"",""en"")"),"to accumulate")</f>
        <v>to accumulate</v>
      </c>
      <c r="E945" s="3" t="str">
        <f ca="1">IFERROR(__xludf.DUMMYFUNCTION("GOOGLETRANSLATE(B945,""fr"",""en"")"),"They accumulate points to win the competition.")</f>
        <v>They accumulate points to win the competition.</v>
      </c>
    </row>
    <row r="946" spans="1:5" x14ac:dyDescent="0.25">
      <c r="A946" s="2" t="s">
        <v>2837</v>
      </c>
      <c r="B946" s="2" t="s">
        <v>2838</v>
      </c>
      <c r="C946" s="3" t="s">
        <v>2839</v>
      </c>
      <c r="D946" s="3" t="str">
        <f ca="1">IFERROR(__xludf.DUMMYFUNCTION("GOOGLETRANSLATE(A946,""fr"",""en"")"),"appear")</f>
        <v>appear</v>
      </c>
      <c r="E946" s="3" t="str">
        <f ca="1">IFERROR(__xludf.DUMMYFUNCTION("GOOGLETRANSLATE(B946,""fr"",""en"")"),"Problems are starting to appear in the system.")</f>
        <v>Problems are starting to appear in the system.</v>
      </c>
    </row>
    <row r="947" spans="1:5" x14ac:dyDescent="0.25">
      <c r="A947" s="2" t="s">
        <v>2840</v>
      </c>
      <c r="B947" s="2" t="s">
        <v>2841</v>
      </c>
      <c r="C947" s="3" t="s">
        <v>2842</v>
      </c>
      <c r="D947" s="3" t="str">
        <f ca="1">IFERROR(__xludf.DUMMYFUNCTION("GOOGLETRANSLATE(A947,""fr"",""en"")"),"to emanate")</f>
        <v>to emanate</v>
      </c>
      <c r="E947" s="3" t="str">
        <f ca="1">IFERROR(__xludf.DUMMYFUNCTION("GOOGLETRANSLATE(B947,""fr"",""en"")"),"The light emanates from the lit lamp.")</f>
        <v>The light emanates from the lit lamp.</v>
      </c>
    </row>
    <row r="948" spans="1:5" x14ac:dyDescent="0.25">
      <c r="A948" s="2" t="s">
        <v>2843</v>
      </c>
      <c r="B948" s="2" t="s">
        <v>2844</v>
      </c>
      <c r="C948" s="3" t="s">
        <v>2845</v>
      </c>
      <c r="D948" s="3" t="str">
        <f ca="1">IFERROR(__xludf.DUMMYFUNCTION("GOOGLETRANSLATE(A948,""fr"",""en"")"),"to be incumbent")</f>
        <v>to be incumbent</v>
      </c>
      <c r="E948" s="3" t="str">
        <f ca="1">IFERROR(__xludf.DUMMYFUNCTION("GOOGLETRANSLATE(B948,""fr"",""en"")"),"It is up to everyone to do their part.")</f>
        <v>It is up to everyone to do their part.</v>
      </c>
    </row>
    <row r="949" spans="1:5" x14ac:dyDescent="0.25">
      <c r="A949" s="2" t="s">
        <v>2846</v>
      </c>
      <c r="B949" s="2" t="s">
        <v>2847</v>
      </c>
      <c r="C949" s="3" t="s">
        <v>2848</v>
      </c>
      <c r="D949" s="3" t="str">
        <f ca="1">IFERROR(__xludf.DUMMYFUNCTION("GOOGLETRANSLATE(A949,""fr"",""en"")"),"to milk")</f>
        <v>to milk</v>
      </c>
      <c r="E949" s="3" t="str">
        <f ca="1">IFERROR(__xludf.DUMMYFUNCTION("GOOGLETRANSLATE(B949,""fr"",""en"")"),"She milks the cow every morning.")</f>
        <v>She milks the cow every morning.</v>
      </c>
    </row>
    <row r="950" spans="1:5" x14ac:dyDescent="0.25">
      <c r="A950" s="2" t="s">
        <v>2849</v>
      </c>
      <c r="B950" s="2" t="s">
        <v>2850</v>
      </c>
      <c r="C950" s="3" t="s">
        <v>2851</v>
      </c>
      <c r="D950" s="3" t="str">
        <f ca="1">IFERROR(__xludf.DUMMYFUNCTION("GOOGLETRANSLATE(A950,""fr"",""en"")"),"to distill")</f>
        <v>to distill</v>
      </c>
      <c r="E950" s="3" t="str">
        <f ca="1">IFERROR(__xludf.DUMMYFUNCTION("GOOGLETRANSLATE(B950,""fr"",""en"")"),"They distill the whiskey in the local distillery.")</f>
        <v>They distill the whiskey in the local distillery.</v>
      </c>
    </row>
    <row r="951" spans="1:5" x14ac:dyDescent="0.25">
      <c r="A951" s="2" t="s">
        <v>2852</v>
      </c>
      <c r="B951" s="2" t="s">
        <v>2853</v>
      </c>
      <c r="C951" s="3" t="s">
        <v>2854</v>
      </c>
      <c r="D951" s="3" t="str">
        <f ca="1">IFERROR(__xludf.DUMMYFUNCTION("GOOGLETRANSLATE(A951,""fr"",""en"")"),"grind")</f>
        <v>grind</v>
      </c>
      <c r="E951" s="3" t="str">
        <f ca="1">IFERROR(__xludf.DUMMYFUNCTION("GOOGLETRANSLATE(B951,""fr"",""en"")"),"She grinds freshly roasted coffee.")</f>
        <v>She grinds freshly roasted coffee.</v>
      </c>
    </row>
    <row r="952" spans="1:5" x14ac:dyDescent="0.25">
      <c r="A952" s="2" t="s">
        <v>2855</v>
      </c>
      <c r="B952" s="2" t="s">
        <v>2856</v>
      </c>
      <c r="C952" s="3" t="s">
        <v>2857</v>
      </c>
      <c r="D952" s="3" t="str">
        <f ca="1">IFERROR(__xludf.DUMMYFUNCTION("GOOGLETRANSLATE(A952,""fr"",""en"")"),"to hatch")</f>
        <v>to hatch</v>
      </c>
      <c r="E952" s="3" t="str">
        <f ca="1">IFERROR(__xludf.DUMMYFUNCTION("GOOGLETRANSLATE(B952,""fr"",""en"")"),"The flower begins to bloom in the morning sun.")</f>
        <v>The flower begins to bloom in the morning sun.</v>
      </c>
    </row>
    <row r="953" spans="1:5" x14ac:dyDescent="0.25">
      <c r="A953" s="2" t="s">
        <v>2858</v>
      </c>
      <c r="B953" s="2" t="s">
        <v>2859</v>
      </c>
      <c r="C953" s="3" t="s">
        <v>2860</v>
      </c>
      <c r="D953" s="3" t="str">
        <f ca="1">IFERROR(__xludf.DUMMYFUNCTION("GOOGLETRANSLATE(A953,""fr"",""en"")"),"alienate")</f>
        <v>alienate</v>
      </c>
      <c r="E953" s="3" t="str">
        <f ca="1">IFERROR(__xludf.DUMMYFUNCTION("GOOGLETRANSLATE(B953,""fr"",""en"")"),"Current policy alienates part of the electorate.")</f>
        <v>Current policy alienates part of the electorate.</v>
      </c>
    </row>
    <row r="954" spans="1:5" x14ac:dyDescent="0.25">
      <c r="A954" s="2" t="s">
        <v>2861</v>
      </c>
      <c r="B954" s="2" t="s">
        <v>2862</v>
      </c>
      <c r="C954" s="3" t="s">
        <v>2863</v>
      </c>
      <c r="D954" s="3" t="str">
        <f ca="1">IFERROR(__xludf.DUMMYFUNCTION("GOOGLETRANSLATE(A954,""fr"",""en"")"),"to come about")</f>
        <v>to come about</v>
      </c>
      <c r="E954" s="3" t="str">
        <f ca="1">IFERROR(__xludf.DUMMYFUNCTION("GOOGLETRANSLATE(B954,""fr"",""en"")"),"Sometimes luck is on our side.")</f>
        <v>Sometimes luck is on our side.</v>
      </c>
    </row>
    <row r="955" spans="1:5" x14ac:dyDescent="0.25">
      <c r="A955" s="2" t="s">
        <v>2864</v>
      </c>
      <c r="B955" s="2" t="s">
        <v>2865</v>
      </c>
      <c r="C955" s="3" t="s">
        <v>2866</v>
      </c>
      <c r="D955" s="3" t="str">
        <f ca="1">IFERROR(__xludf.DUMMYFUNCTION("GOOGLETRANSLATE(A955,""fr"",""en"")"),"graze")</f>
        <v>graze</v>
      </c>
      <c r="E955" s="3" t="str">
        <f ca="1">IFERROR(__xludf.DUMMYFUNCTION("GOOGLETRANSLATE(B955,""fr"",""en"")"),"The cows graze peacefully in the field.")</f>
        <v>The cows graze peacefully in the field.</v>
      </c>
    </row>
    <row r="956" spans="1:5" x14ac:dyDescent="0.25">
      <c r="A956" s="2" t="s">
        <v>2867</v>
      </c>
      <c r="B956" s="2" t="s">
        <v>2868</v>
      </c>
      <c r="C956" s="3" t="s">
        <v>2869</v>
      </c>
      <c r="D956" s="3" t="str">
        <f ca="1">IFERROR(__xludf.DUMMYFUNCTION("GOOGLETRANSLATE(A956,""fr"",""en"")"),"to move")</f>
        <v>to move</v>
      </c>
      <c r="E956" s="3" t="str">
        <f ca="1">IFERROR(__xludf.DUMMYFUNCTION("GOOGLETRANSLATE(B956,""fr"",""en"")"),"The film moved him to tears.")</f>
        <v>The film moved him to tears.</v>
      </c>
    </row>
    <row r="957" spans="1:5" x14ac:dyDescent="0.25">
      <c r="A957" s="2" t="s">
        <v>2870</v>
      </c>
      <c r="B957" s="2" t="s">
        <v>2871</v>
      </c>
      <c r="C957" s="3" t="s">
        <v>2872</v>
      </c>
      <c r="D957" s="3" t="str">
        <f ca="1">IFERROR(__xludf.DUMMYFUNCTION("GOOGLETRANSLATE(A957,""fr"",""en"")"),"whisper")</f>
        <v>whisper</v>
      </c>
      <c r="E957" s="3" t="str">
        <f ca="1">IFERROR(__xludf.DUMMYFUNCTION("GOOGLETRANSLATE(B957,""fr"",""en"")"),"They whisper secrets in your ear.")</f>
        <v>They whisper secrets in your ear.</v>
      </c>
    </row>
    <row r="958" spans="1:5" x14ac:dyDescent="0.25">
      <c r="A958" s="2" t="s">
        <v>2873</v>
      </c>
      <c r="B958" s="2" t="s">
        <v>2874</v>
      </c>
      <c r="C958" s="3" t="s">
        <v>2875</v>
      </c>
      <c r="D958" s="3" t="str">
        <f ca="1">IFERROR(__xludf.DUMMYFUNCTION("GOOGLETRANSLATE(A958,""fr"",""en"")"),"move")</f>
        <v>move</v>
      </c>
      <c r="E958" s="3" t="str">
        <f ca="1">IFERROR(__xludf.DUMMYFUNCTION("GOOGLETRANSLATE(B958,""fr"",""en"")"),"They move slowly towards the city center.")</f>
        <v>They move slowly towards the city center.</v>
      </c>
    </row>
    <row r="959" spans="1:5" x14ac:dyDescent="0.25">
      <c r="A959" s="2" t="s">
        <v>2876</v>
      </c>
      <c r="B959" s="2" t="s">
        <v>2877</v>
      </c>
      <c r="C959" s="3" t="s">
        <v>2878</v>
      </c>
      <c r="D959" s="3" t="str">
        <f ca="1">IFERROR(__xludf.DUMMYFUNCTION("GOOGLETRANSLATE(A959,""fr"",""en"")"),"to injure")</f>
        <v>to injure</v>
      </c>
      <c r="E959" s="3" t="str">
        <f ca="1">IFERROR(__xludf.DUMMYFUNCTION("GOOGLETRANSLATE(B959,""fr"",""en"")"),"She is violating his rights by not granting him fair compensation.")</f>
        <v>She is violating his rights by not granting him fair compensation.</v>
      </c>
    </row>
    <row r="960" spans="1:5" x14ac:dyDescent="0.25">
      <c r="A960" s="2" t="s">
        <v>2879</v>
      </c>
      <c r="B960" s="2" t="s">
        <v>2880</v>
      </c>
      <c r="C960" s="3" t="s">
        <v>2881</v>
      </c>
      <c r="D960" s="3" t="str">
        <f ca="1">IFERROR(__xludf.DUMMYFUNCTION("GOOGLETRANSLATE(A960,""fr"",""en"")"),"sigh")</f>
        <v>sigh</v>
      </c>
      <c r="E960" s="3" t="str">
        <f ca="1">IFERROR(__xludf.DUMMYFUNCTION("GOOGLETRANSLATE(B960,""fr"",""en"")"),"He sighs with relief after the results are announced.")</f>
        <v>He sighs with relief after the results are announced.</v>
      </c>
    </row>
    <row r="961" spans="1:5" x14ac:dyDescent="0.25">
      <c r="A961" s="2" t="s">
        <v>2882</v>
      </c>
      <c r="B961" s="2" t="s">
        <v>2883</v>
      </c>
      <c r="C961" s="3" t="s">
        <v>2884</v>
      </c>
      <c r="D961" s="3" t="str">
        <f ca="1">IFERROR(__xludf.DUMMYFUNCTION("GOOGLETRANSLATE(A961,""fr"",""en"")"),"to impart")</f>
        <v>to impart</v>
      </c>
      <c r="E961" s="3" t="str">
        <f ca="1">IFERROR(__xludf.DUMMYFUNCTION("GOOGLETRANSLATE(B961,""fr"",""en"")"),"She divides tasks equally among her children.")</f>
        <v>She divides tasks equally among her children.</v>
      </c>
    </row>
    <row r="962" spans="1:5" x14ac:dyDescent="0.25">
      <c r="A962" s="2" t="s">
        <v>2885</v>
      </c>
      <c r="B962" s="2" t="s">
        <v>2886</v>
      </c>
      <c r="C962" s="3" t="s">
        <v>2887</v>
      </c>
      <c r="D962" s="3" t="str">
        <f ca="1">IFERROR(__xludf.DUMMYFUNCTION("GOOGLETRANSLATE(A962,""fr"",""en"")"),"bark")</f>
        <v>bark</v>
      </c>
      <c r="E962" s="3" t="str">
        <f ca="1">IFERROR(__xludf.DUMMYFUNCTION("GOOGLETRANSLATE(B962,""fr"",""en"")"),"The dog barks loudly at night.")</f>
        <v>The dog barks loudly at night.</v>
      </c>
    </row>
    <row r="963" spans="1:5" x14ac:dyDescent="0.25">
      <c r="A963" s="2" t="s">
        <v>2888</v>
      </c>
      <c r="B963" s="2" t="s">
        <v>2889</v>
      </c>
      <c r="C963" s="3" t="s">
        <v>2890</v>
      </c>
      <c r="D963" s="3" t="str">
        <f ca="1">IFERROR(__xludf.DUMMYFUNCTION("GOOGLETRANSLATE(A963,""fr"",""en"")"),"sneeze")</f>
        <v>sneeze</v>
      </c>
      <c r="E963" s="3" t="str">
        <f ca="1">IFERROR(__xludf.DUMMYFUNCTION("GOOGLETRANSLATE(B963,""fr"",""en"")"),"She sneezes loudly because of a cold.")</f>
        <v>She sneezes loudly because of a cold.</v>
      </c>
    </row>
    <row r="964" spans="1:5" x14ac:dyDescent="0.25">
      <c r="A964" s="2" t="s">
        <v>2891</v>
      </c>
      <c r="B964" s="2" t="s">
        <v>2892</v>
      </c>
      <c r="C964" s="3" t="s">
        <v>2893</v>
      </c>
      <c r="D964" s="3" t="str">
        <f ca="1">IFERROR(__xludf.DUMMYFUNCTION("GOOGLETRANSLATE(A964,""fr"",""en"")"),"to dress")</f>
        <v>to dress</v>
      </c>
      <c r="E964" s="3" t="str">
        <f ca="1">IFERROR(__xludf.DUMMYFUNCTION("GOOGLETRANSLATE(B964,""fr"",""en"")"),"She dresses elegantly for the evening.")</f>
        <v>She dresses elegantly for the evening.</v>
      </c>
    </row>
    <row r="965" spans="1:5" x14ac:dyDescent="0.25">
      <c r="A965" s="2" t="s">
        <v>2894</v>
      </c>
      <c r="B965" s="2" t="s">
        <v>2895</v>
      </c>
      <c r="C965" s="3" t="s">
        <v>2896</v>
      </c>
      <c r="D965" s="3" t="str">
        <f ca="1">IFERROR(__xludf.DUMMYFUNCTION("GOOGLETRANSLATE(A965,""fr"",""en"")"),"fail")</f>
        <v>fail</v>
      </c>
      <c r="E965" s="3" t="str">
        <f ca="1">IFERROR(__xludf.DUMMYFUNCTION("GOOGLETRANSLATE(B965,""fr"",""en"")"),"We will be failing in our duty if we do not act now.")</f>
        <v>We will be failing in our duty if we do not act now.</v>
      </c>
    </row>
    <row r="966" spans="1:5" x14ac:dyDescent="0.25">
      <c r="A966" s="2" t="s">
        <v>2897</v>
      </c>
      <c r="B966" s="2" t="s">
        <v>2898</v>
      </c>
      <c r="C966" s="3" t="s">
        <v>2899</v>
      </c>
      <c r="D966" s="3" t="str">
        <f ca="1">IFERROR(__xludf.DUMMYFUNCTION("GOOGLETRANSLATE(A966,""fr"",""en"")"),"sympathize")</f>
        <v>sympathize</v>
      </c>
      <c r="E966" s="3" t="str">
        <f ca="1">IFERROR(__xludf.DUMMYFUNCTION("GOOGLETRANSLATE(B966,""fr"",""en"")"),"They sympathize with those who are suffering.")</f>
        <v>They sympathize with those who are suffering.</v>
      </c>
    </row>
    <row r="967" spans="1:5" x14ac:dyDescent="0.25">
      <c r="A967" s="2" t="s">
        <v>2900</v>
      </c>
      <c r="B967" s="2" t="s">
        <v>2901</v>
      </c>
      <c r="C967" s="3" t="s">
        <v>2902</v>
      </c>
      <c r="D967" s="3" t="str">
        <f ca="1">IFERROR(__xludf.DUMMYFUNCTION("GOOGLETRANSLATE(A967,""fr"",""en"")"),"to cut up")</f>
        <v>to cut up</v>
      </c>
      <c r="E967" s="3" t="str">
        <f ca="1">IFERROR(__xludf.DUMMYFUNCTION("GOOGLETRANSLATE(B967,""fr"",""en"")"),"They butcher the game to prepare it.")</f>
        <v>They butcher the game to prepare it.</v>
      </c>
    </row>
    <row r="968" spans="1:5" x14ac:dyDescent="0.25">
      <c r="A968" s="2" t="s">
        <v>2903</v>
      </c>
      <c r="B968" s="2" t="s">
        <v>2904</v>
      </c>
      <c r="C968" s="3" t="s">
        <v>2905</v>
      </c>
      <c r="D968" s="3" t="str">
        <f ca="1">IFERROR(__xludf.DUMMYFUNCTION("GOOGLETRANSLATE(A968,""fr"",""en"")"),"absolve")</f>
        <v>absolve</v>
      </c>
      <c r="E968" s="3" t="str">
        <f ca="1">IFERROR(__xludf.DUMMYFUNCTION("GOOGLETRANSLATE(B968,""fr"",""en"")"),"The priest absolves the confessor's sins.")</f>
        <v>The priest absolves the confessor's sins.</v>
      </c>
    </row>
    <row r="969" spans="1:5" x14ac:dyDescent="0.25">
      <c r="A969" s="2" t="s">
        <v>2906</v>
      </c>
      <c r="B969" s="2" t="s">
        <v>2907</v>
      </c>
      <c r="C969" s="3" t="s">
        <v>2908</v>
      </c>
      <c r="D969" s="3" t="str">
        <f ca="1">IFERROR(__xludf.DUMMYFUNCTION("GOOGLETRANSLATE(A969,""fr"",""en"")"),"to doze off")</f>
        <v>to doze off</v>
      </c>
      <c r="E969" s="3" t="str">
        <f ca="1">IFERROR(__xludf.DUMMYFUNCTION("GOOGLETRANSLATE(B969,""fr"",""en"")"),"She dozed off gently by the fire.")</f>
        <v>She dozed off gently by the fire.</v>
      </c>
    </row>
    <row r="970" spans="1:5" x14ac:dyDescent="0.25">
      <c r="A970" s="2" t="s">
        <v>2909</v>
      </c>
      <c r="B970" s="2" t="s">
        <v>2910</v>
      </c>
      <c r="C970" s="3" t="s">
        <v>2911</v>
      </c>
      <c r="D970" s="3" t="str">
        <f ca="1">IFERROR(__xludf.DUMMYFUNCTION("GOOGLETRANSLATE(A970,""fr"",""en"")"),"to believe")</f>
        <v>to believe</v>
      </c>
      <c r="E970" s="3" t="str">
        <f ca="1">IFERROR(__xludf.DUMMYFUNCTION("GOOGLETRANSLATE(B970,""fr"",""en"")"),"You shouldn't believe everything you read on the Internet.")</f>
        <v>You shouldn't believe everything you read on the Internet.</v>
      </c>
    </row>
    <row r="971" spans="1:5" x14ac:dyDescent="0.25">
      <c r="A971" s="2" t="s">
        <v>2912</v>
      </c>
      <c r="B971" s="2" t="s">
        <v>2913</v>
      </c>
      <c r="C971" s="3" t="s">
        <v>2914</v>
      </c>
      <c r="D971" s="3" t="str">
        <f ca="1">IFERROR(__xludf.DUMMYFUNCTION("GOOGLETRANSLATE(A971,""fr"",""en"")"),"fall")</f>
        <v>fall</v>
      </c>
      <c r="E971" s="3" t="str">
        <f ca="1">IFERROR(__xludf.DUMMYFUNCTION("GOOGLETRANSLATE(B971,""fr"",""en"")"),"The final decision must be made by the assembly.")</f>
        <v>The final decision must be made by the assembly.</v>
      </c>
    </row>
    <row r="972" spans="1:5" x14ac:dyDescent="0.25">
      <c r="A972" s="2" t="s">
        <v>2915</v>
      </c>
      <c r="B972" s="2" t="s">
        <v>2916</v>
      </c>
      <c r="C972" s="3" t="s">
        <v>2917</v>
      </c>
      <c r="D972" s="3" t="str">
        <f ca="1">IFERROR(__xludf.DUMMYFUNCTION("GOOGLETRANSLATE(A972,""fr"",""en"")"),"to fall")</f>
        <v>to fall</v>
      </c>
      <c r="E972" s="3" t="str">
        <f ca="1">IFERROR(__xludf.DUMMYFUNCTION("GOOGLETRANSLATE(B972,""fr"",""en"")"),"He could lose his title if he doesn't get his act together.")</f>
        <v>He could lose his title if he doesn't get his act together.</v>
      </c>
    </row>
    <row r="973" spans="1:5" x14ac:dyDescent="0.25">
      <c r="A973" s="2" t="s">
        <v>2918</v>
      </c>
      <c r="B973" s="2" t="s">
        <v>2919</v>
      </c>
      <c r="C973" s="3" t="s">
        <v>2920</v>
      </c>
      <c r="D973" s="3" t="str">
        <f ca="1">IFERROR(__xludf.DUMMYFUNCTION("GOOGLETRANSLATE(A973,""fr"",""en"")"),"skim")</f>
        <v>skim</v>
      </c>
      <c r="E973" s="3" t="str">
        <f ca="1">IFERROR(__xludf.DUMMYFUNCTION("GOOGLETRANSLATE(B973,""fr"",""en"")"),"She skims the milk to obtain fresh cream.")</f>
        <v>She skims the milk to obtain fresh cream.</v>
      </c>
    </row>
    <row r="974" spans="1:5" x14ac:dyDescent="0.25">
      <c r="A974" s="2" t="s">
        <v>2921</v>
      </c>
      <c r="B974" s="2" t="s">
        <v>2922</v>
      </c>
      <c r="C974" s="3" t="s">
        <v>2923</v>
      </c>
      <c r="D974" s="3" t="str">
        <f ca="1">IFERROR(__xludf.DUMMYFUNCTION("GOOGLETRANSLATE(A974,""fr"",""en"")"),"appear")</f>
        <v>appear</v>
      </c>
      <c r="E974" s="3" t="str">
        <f ca="1">IFERROR(__xludf.DUMMYFUNCTION("GOOGLETRANSLATE(B974,""fr"",""en"")"),"Witnesses must appear in court.")</f>
        <v>Witnesses must appear in court.</v>
      </c>
    </row>
    <row r="975" spans="1:5" x14ac:dyDescent="0.25">
      <c r="A975" s="2" t="s">
        <v>2924</v>
      </c>
      <c r="B975" s="2" t="s">
        <v>2925</v>
      </c>
      <c r="C975" s="3" t="s">
        <v>2926</v>
      </c>
      <c r="D975" s="3" t="str">
        <f ca="1">IFERROR(__xludf.DUMMYFUNCTION("GOOGLETRANSLATE(A975,""fr"",""en"")"),"to assault")</f>
        <v>to assault</v>
      </c>
      <c r="E975" s="3" t="str">
        <f ca="1">IFERROR(__xludf.DUMMYFUNCTION("GOOGLETRANSLATE(B975,""fr"",""en"")"),"Waves batter the coast during the storm.")</f>
        <v>Waves batter the coast during the storm.</v>
      </c>
    </row>
    <row r="976" spans="1:5" x14ac:dyDescent="0.25">
      <c r="A976" s="2" t="s">
        <v>2927</v>
      </c>
      <c r="B976" s="2" t="s">
        <v>2928</v>
      </c>
      <c r="C976" s="3" t="s">
        <v>2929</v>
      </c>
      <c r="D976" s="3" t="str">
        <f ca="1">IFERROR(__xludf.DUMMYFUNCTION("GOOGLETRANSLATE(A976,""fr"",""en"")"),"vent")</f>
        <v>vent</v>
      </c>
      <c r="E976" s="3" t="str">
        <f ca="1">IFERROR(__xludf.DUMMYFUNCTION("GOOGLETRANSLATE(B976,""fr"",""en"")"),"The wind blows hard through the mountains.")</f>
        <v>The wind blows hard through the mountains.</v>
      </c>
    </row>
    <row r="977" spans="1:5" x14ac:dyDescent="0.25">
      <c r="A977" s="2" t="s">
        <v>2930</v>
      </c>
      <c r="B977" s="2" t="s">
        <v>2931</v>
      </c>
      <c r="C977" s="3" t="s">
        <v>2932</v>
      </c>
      <c r="D977" s="3" t="str">
        <f ca="1">IFERROR(__xludf.DUMMYFUNCTION("GOOGLETRANSLATE(A977,""fr"",""en"")"),"to gift")</f>
        <v>to gift</v>
      </c>
      <c r="E977" s="3" t="str">
        <f ca="1">IFERROR(__xludf.DUMMYFUNCTION("GOOGLETRANSLATE(B977,""fr"",""en"")"),"He is good at solving mathematical problems.")</f>
        <v>He is good at solving mathematical problems.</v>
      </c>
    </row>
    <row r="978" spans="1:5" x14ac:dyDescent="0.25">
      <c r="A978" s="2" t="s">
        <v>2933</v>
      </c>
      <c r="B978" s="2" t="s">
        <v>2934</v>
      </c>
      <c r="C978" s="3" t="s">
        <v>2935</v>
      </c>
      <c r="D978" s="3" t="str">
        <f ca="1">IFERROR(__xludf.DUMMYFUNCTION("GOOGLETRANSLATE(A978,""fr"",""en"")"),"bray")</f>
        <v>bray</v>
      </c>
      <c r="E978" s="3" t="str">
        <f ca="1">IFERROR(__xludf.DUMMYFUNCTION("GOOGLETRANSLATE(B978,""fr"",""en"")"),"The donkey brays loudly at dawn.")</f>
        <v>The donkey brays loudly at dawn.</v>
      </c>
    </row>
    <row r="979" spans="1:5" x14ac:dyDescent="0.25">
      <c r="A979" s="2" t="s">
        <v>2936</v>
      </c>
      <c r="B979" s="2" t="s">
        <v>2937</v>
      </c>
      <c r="C979" s="3" t="s">
        <v>2938</v>
      </c>
      <c r="D979" s="3" t="str">
        <f ca="1">IFERROR(__xludf.DUMMYFUNCTION("GOOGLETRANSLATE(A979,""fr"",""en"")"),"hear")</f>
        <v>hear</v>
      </c>
      <c r="E979" s="3" t="str">
        <f ca="1">IFERROR(__xludf.DUMMYFUNCTION("GOOGLETRANSLATE(B979,""fr"",""en"")"),"They heard that the show was incredible.")</f>
        <v>They heard that the show was incredible.</v>
      </c>
    </row>
    <row r="980" spans="1:5" x14ac:dyDescent="0.25">
      <c r="A980" s="2" t="s">
        <v>2939</v>
      </c>
      <c r="B980" s="2" t="s">
        <v>2940</v>
      </c>
      <c r="C980" s="3" t="s">
        <v>2941</v>
      </c>
      <c r="D980" s="3" t="str">
        <f ca="1">IFERROR(__xludf.DUMMYFUNCTION("GOOGLETRANSLATE(A980,""fr"",""en"")"),"to rustle")</f>
        <v>to rustle</v>
      </c>
      <c r="E980" s="3" t="str">
        <f ca="1">IFERROR(__xludf.DUMMYFUNCTION("GOOGLETRANSLATE(B980,""fr"",""en"")"),"The leaves rustled in the autumn wind.")</f>
        <v>The leaves rustled in the autumn wind.</v>
      </c>
    </row>
    <row r="981" spans="1:5" x14ac:dyDescent="0.25">
      <c r="A981" s="2" t="s">
        <v>2942</v>
      </c>
      <c r="B981" s="2" t="s">
        <v>2943</v>
      </c>
      <c r="C981" s="3" t="s">
        <v>2944</v>
      </c>
      <c r="D981" s="3" t="str">
        <f ca="1">IFERROR(__xludf.DUMMYFUNCTION("GOOGLETRANSLATE(A981,""fr"",""en"")"),"to spring forth")</f>
        <v>to spring forth</v>
      </c>
      <c r="E981" s="3" t="str">
        <f ca="1">IFERROR(__xludf.DUMMYFUNCTION("GOOGLETRANSLATE(B981,""fr"",""en"")"),"Pure water flows from the spring.")</f>
        <v>Pure water flows from the spring.</v>
      </c>
    </row>
    <row r="982" spans="1:5" x14ac:dyDescent="0.25">
      <c r="A982" s="2" t="s">
        <v>2945</v>
      </c>
      <c r="B982" s="2" t="s">
        <v>2946</v>
      </c>
      <c r="C982" s="3" t="s">
        <v>2947</v>
      </c>
      <c r="D982" s="3" t="str">
        <f ca="1">IFERROR(__xludf.DUMMYFUNCTION("GOOGLETRANSLATE(A982,""fr"",""en"")"),"to enclose")</f>
        <v>to enclose</v>
      </c>
      <c r="E982" s="3" t="str">
        <f ca="1">IFERROR(__xludf.DUMMYFUNCTION("GOOGLETRANSLATE(B982,""fr"",""en"")"),"They pen the sheep in the meadow.")</f>
        <v>They pen the sheep in the meadow.</v>
      </c>
    </row>
    <row r="983" spans="1:5" x14ac:dyDescent="0.25">
      <c r="A983" s="2" t="s">
        <v>2948</v>
      </c>
      <c r="B983" s="2" t="s">
        <v>2949</v>
      </c>
      <c r="C983" s="3" t="s">
        <v>2950</v>
      </c>
      <c r="D983" s="3" t="str">
        <f ca="1">IFERROR(__xludf.DUMMYFUNCTION("GOOGLETRANSLATE(A983,""fr"",""en"")"),"to sit down")</f>
        <v>to sit down</v>
      </c>
      <c r="E983" s="3" t="str">
        <f ca="1">IFERROR(__xludf.DUMMYFUNCTION("GOOGLETRANSLATE(B983,""fr"",""en"")"),"The colors will suit the interior decoration well.")</f>
        <v>The colors will suit the interior decoration well.</v>
      </c>
    </row>
    <row r="984" spans="1:5" x14ac:dyDescent="0.25">
      <c r="A984" s="2" t="s">
        <v>2951</v>
      </c>
      <c r="B984" s="2" t="s">
        <v>2952</v>
      </c>
      <c r="C984" s="3" t="s">
        <v>2953</v>
      </c>
      <c r="D984" s="3" t="str">
        <f ca="1">IFERROR(__xludf.DUMMYFUNCTION("GOOGLETRANSLATE(A984,""fr"",""en"")"),"refrain")</f>
        <v>refrain</v>
      </c>
      <c r="E984" s="3" t="str">
        <f ca="1">IFERROR(__xludf.DUMMYFUNCTION("GOOGLETRANSLATE(B984,""fr"",""en"")"),"I refrain from commenting on this delicate subject.")</f>
        <v>I refrain from commenting on this delicate subject.</v>
      </c>
    </row>
    <row r="985" spans="1:5" x14ac:dyDescent="0.25">
      <c r="A985" s="2" t="s">
        <v>2954</v>
      </c>
      <c r="B985" s="2" t="s">
        <v>2955</v>
      </c>
      <c r="C985" s="3" t="s">
        <v>2956</v>
      </c>
      <c r="D985" s="3" t="str">
        <f ca="1">IFERROR(__xludf.DUMMYFUNCTION("GOOGLETRANSLATE(A985,""fr"",""en"")"),"remember")</f>
        <v>remember</v>
      </c>
      <c r="E985" s="3" t="str">
        <f ca="1">IFERROR(__xludf.DUMMYFUNCTION("GOOGLETRANSLATE(B985,""fr"",""en"")"),"She remembers her childhood with emotion.")</f>
        <v>She remembers her childhood with emotion.</v>
      </c>
    </row>
    <row r="986" spans="1:5" x14ac:dyDescent="0.25">
      <c r="A986" s="2" t="s">
        <v>2957</v>
      </c>
      <c r="B986" s="2" t="s">
        <v>2958</v>
      </c>
      <c r="C986" s="3" t="s">
        <v>2959</v>
      </c>
      <c r="D986" s="3" t="str">
        <f ca="1">IFERROR(__xludf.DUMMYFUNCTION("GOOGLETRANSLATE(A986,""fr"",""en"")"),"run away")</f>
        <v>run away</v>
      </c>
      <c r="E986" s="3" t="str">
        <f ca="1">IFERROR(__xludf.DUMMYFUNCTION("GOOGLETRANSLATE(B986,""fr"",""en"")"),"They run away from home in the middle of the night.")</f>
        <v>They run away from home in the middle of the night.</v>
      </c>
    </row>
    <row r="987" spans="1:5" x14ac:dyDescent="0.25">
      <c r="A987" s="2" t="s">
        <v>2960</v>
      </c>
      <c r="B987" s="2" t="s">
        <v>2961</v>
      </c>
      <c r="C987" s="3" t="s">
        <v>2962</v>
      </c>
      <c r="D987" s="3" t="str">
        <f ca="1">IFERROR(__xludf.DUMMYFUNCTION("GOOGLETRANSLATE(A987,""fr"",""en"")"),"follow")</f>
        <v>follow</v>
      </c>
      <c r="E987" s="3" t="str">
        <f ca="1">IFERROR(__xludf.DUMMYFUNCTION("GOOGLETRANSLATE(B987,""fr"",""en"")"),"Events followed quickly after the announcement.")</f>
        <v>Events followed quickly after the announcement.</v>
      </c>
    </row>
    <row r="988" spans="1:5" x14ac:dyDescent="0.25">
      <c r="A988" s="2" t="s">
        <v>2963</v>
      </c>
      <c r="B988" s="2" t="s">
        <v>2964</v>
      </c>
      <c r="C988" s="3" t="s">
        <v>2965</v>
      </c>
      <c r="D988" s="3" t="str">
        <f ca="1">IFERROR(__xludf.DUMMYFUNCTION("GOOGLETRANSLATE(A988,""fr"",""en"")"),"to flee")</f>
        <v>to flee</v>
      </c>
      <c r="E988" s="3" t="str">
        <f ca="1">IFERROR(__xludf.DUMMYFUNCTION("GOOGLETRANSLATE(B988,""fr"",""en"")"),"He refuses to run away from difficulties.")</f>
        <v>He refuses to run away from difficulties.</v>
      </c>
    </row>
    <row r="989" spans="1:5" x14ac:dyDescent="0.25">
      <c r="A989" s="2" t="s">
        <v>2966</v>
      </c>
      <c r="B989" s="2" t="s">
        <v>2967</v>
      </c>
      <c r="C989" s="3" t="s">
        <v>2968</v>
      </c>
      <c r="D989" s="3" t="str">
        <f ca="1">IFERROR(__xludf.DUMMYFUNCTION("GOOGLETRANSLATE(A989,""fr"",""en"")"),"instrument")</f>
        <v>instrument</v>
      </c>
      <c r="E989" s="3" t="str">
        <f ca="1">IFERROR(__xludf.DUMMYFUNCTION("GOOGLETRANSLATE(B989,""fr"",""en"")"),"The band is instrumentalizing a new song.")</f>
        <v>The band is instrumentalizing a new song.</v>
      </c>
    </row>
    <row r="990" spans="1:5" x14ac:dyDescent="0.25">
      <c r="A990" s="2" t="s">
        <v>2969</v>
      </c>
      <c r="B990" s="2" t="s">
        <v>2970</v>
      </c>
      <c r="C990" s="3" t="s">
        <v>2971</v>
      </c>
      <c r="D990" s="3" t="str">
        <f ca="1">IFERROR(__xludf.DUMMYFUNCTION("GOOGLETRANSLATE(A990,""fr"",""en"")"),"clap")</f>
        <v>clap</v>
      </c>
      <c r="E990" s="3" t="str">
        <f ca="1">IFERROR(__xludf.DUMMYFUNCTION("GOOGLETRANSLATE(B990,""fr"",""en"")"),"The birds chirped happily in spring.")</f>
        <v>The birds chirped happily in spring.</v>
      </c>
    </row>
    <row r="991" spans="1:5" x14ac:dyDescent="0.25">
      <c r="A991" s="2" t="s">
        <v>2972</v>
      </c>
      <c r="B991" s="2" t="s">
        <v>2973</v>
      </c>
      <c r="C991" s="3" t="s">
        <v>2974</v>
      </c>
      <c r="D991" s="3" t="str">
        <f ca="1">IFERROR(__xludf.DUMMYFUNCTION("GOOGLETRANSLATE(A991,""fr"",""en"")"),"to clarify")</f>
        <v>to clarify</v>
      </c>
      <c r="E991" s="3" t="str">
        <f ca="1">IFERROR(__xludf.DUMMYFUNCTION("GOOGLETRANSLATE(B991,""fr"",""en"")"),"The sound of bells rang out in the village.")</f>
        <v>The sound of bells rang out in the village.</v>
      </c>
    </row>
    <row r="992" spans="1:5" x14ac:dyDescent="0.25">
      <c r="A992" s="2" t="s">
        <v>2975</v>
      </c>
      <c r="B992" s="2" t="s">
        <v>2976</v>
      </c>
      <c r="C992" s="3" t="s">
        <v>2977</v>
      </c>
      <c r="D992" s="3" t="str">
        <f ca="1">IFERROR(__xludf.DUMMYFUNCTION("GOOGLETRANSLATE(A992,""fr"",""en"")"),"to graze")</f>
        <v>to graze</v>
      </c>
      <c r="E992" s="3" t="str">
        <f ca="1">IFERROR(__xludf.DUMMYFUNCTION("GOOGLETRANSLATE(B992,""fr"",""en"")"),"Raindrops patter against the windows.")</f>
        <v>Raindrops patter against the windows.</v>
      </c>
    </row>
    <row r="993" spans="1:5" x14ac:dyDescent="0.25">
      <c r="A993" s="2" t="s">
        <v>2978</v>
      </c>
      <c r="B993" s="2" t="s">
        <v>2979</v>
      </c>
      <c r="C993" s="3" t="s">
        <v>2980</v>
      </c>
      <c r="D993" s="3" t="str">
        <f ca="1">IFERROR(__xludf.DUMMYFUNCTION("GOOGLETRANSLATE(A993,""fr"",""en"")"),"to glean")</f>
        <v>to glean</v>
      </c>
      <c r="E993" s="3" t="str">
        <f ca="1">IFERROR(__xludf.DUMMYFUNCTION("GOOGLETRANSLATE(B993,""fr"",""en"")"),"She gathers essential information before the meeting.")</f>
        <v>She gathers essential information before the meeting.</v>
      </c>
    </row>
    <row r="994" spans="1:5" x14ac:dyDescent="0.25">
      <c r="A994" s="2" t="s">
        <v>2981</v>
      </c>
      <c r="B994" s="2" t="s">
        <v>2982</v>
      </c>
      <c r="C994" s="3" t="s">
        <v>2983</v>
      </c>
      <c r="D994" s="3" t="str">
        <f ca="1">IFERROR(__xludf.DUMMYFUNCTION("GOOGLETRANSLATE(A994,""fr"",""en"")"),"gener")</f>
        <v>gener</v>
      </c>
      <c r="E994" s="3" t="str">
        <f ca="1">IFERROR(__xludf.DUMMYFUNCTION("GOOGLETRANSLATE(B994,""fr"",""en"")"),"His clothes hampered his movements.")</f>
        <v>His clothes hampered his movements.</v>
      </c>
    </row>
    <row r="995" spans="1:5" x14ac:dyDescent="0.25">
      <c r="A995" s="2" t="s">
        <v>2984</v>
      </c>
      <c r="B995" s="2" t="s">
        <v>2985</v>
      </c>
      <c r="C995" s="3" t="s">
        <v>2986</v>
      </c>
      <c r="D995" s="3" t="str">
        <f ca="1">IFERROR(__xludf.DUMMYFUNCTION("GOOGLETRANSLATE(A995,""fr"",""en"")"),"follow")</f>
        <v>follow</v>
      </c>
      <c r="E995" s="3" t="str">
        <f ca="1">IFERROR(__xludf.DUMMYFUNCTION("GOOGLETRANSLATE(B995,""fr"",""en"")"),"They follow the path marked on the map.")</f>
        <v>They follow the path marked on the map.</v>
      </c>
    </row>
    <row r="996" spans="1:5" x14ac:dyDescent="0.25">
      <c r="A996" s="2" t="s">
        <v>2987</v>
      </c>
      <c r="B996" s="2" t="s">
        <v>2988</v>
      </c>
      <c r="C996" s="3" t="s">
        <v>2989</v>
      </c>
      <c r="D996" s="3" t="str">
        <f ca="1">IFERROR(__xludf.DUMMYFUNCTION("GOOGLETRANSLATE(A996,""fr"",""en"")"),"bind")</f>
        <v>bind</v>
      </c>
      <c r="E996" s="3" t="str">
        <f ca="1">IFERROR(__xludf.DUMMYFUNCTION("GOOGLETRANSLATE(B996,""fr"",""en"")"),"They connect the beams to strengthen the structure.")</f>
        <v>They connect the beams to strengthen the structure.</v>
      </c>
    </row>
    <row r="997" spans="1:5" x14ac:dyDescent="0.25">
      <c r="A997" s="2" t="s">
        <v>2990</v>
      </c>
      <c r="B997" s="2" t="s">
        <v>2991</v>
      </c>
      <c r="C997" s="3" t="s">
        <v>2992</v>
      </c>
      <c r="D997" s="3" t="str">
        <f ca="1">IFERROR(__xludf.DUMMYFUNCTION("GOOGLETRANSLATE(A997,""fr"",""en"")"),"rent")</f>
        <v>rent</v>
      </c>
      <c r="E997" s="3" t="str">
        <f ca="1">IFERROR(__xludf.DUMMYFUNCTION("GOOGLETRANSLATE(B997,""fr"",""en"")"),"He comes home after a long day.")</f>
        <v>He comes home after a long day.</v>
      </c>
    </row>
    <row r="998" spans="1:5" x14ac:dyDescent="0.25">
      <c r="A998" s="2" t="s">
        <v>2993</v>
      </c>
      <c r="B998" s="2" t="s">
        <v>2994</v>
      </c>
      <c r="C998" s="3" t="s">
        <v>2995</v>
      </c>
      <c r="D998" s="3" t="str">
        <f ca="1">IFERROR(__xludf.DUMMYFUNCTION("GOOGLETRANSLATE(A998,""fr"",""en"")"),"future")</f>
        <v>future</v>
      </c>
      <c r="E998" s="3" t="str">
        <f ca="1">IFERROR(__xludf.DUMMYFUNCTION("GOOGLETRANSLATE(B998,""fr"",""en"")"),"Big changes are coming to the company.")</f>
        <v>Big changes are coming to the company.</v>
      </c>
    </row>
    <row r="999" spans="1:5" x14ac:dyDescent="0.25">
      <c r="A999" s="2" t="s">
        <v>2996</v>
      </c>
      <c r="B999" s="2" t="s">
        <v>2997</v>
      </c>
      <c r="C999" s="3" t="s">
        <v>2998</v>
      </c>
      <c r="D999" s="3" t="str">
        <f ca="1">IFERROR(__xludf.DUMMYFUNCTION("GOOGLETRANSLATE(A999,""fr"",""en"")"),"reach")</f>
        <v>reach</v>
      </c>
      <c r="E999" s="3" t="str">
        <f ca="1">IFERROR(__xludf.DUMMYFUNCTION("GOOGLETRANSLATE(B999,""fr"",""en"")"),"They hope to achieve their goals before the end of the year.")</f>
        <v>They hope to achieve their goals before the end of the year.</v>
      </c>
    </row>
    <row r="1000" spans="1:5" x14ac:dyDescent="0.25">
      <c r="A1000" s="2" t="s">
        <v>2999</v>
      </c>
      <c r="B1000" s="2" t="s">
        <v>3000</v>
      </c>
      <c r="C1000" s="3" t="s">
        <v>3001</v>
      </c>
      <c r="D1000" s="3" t="str">
        <f ca="1">IFERROR(__xludf.DUMMYFUNCTION("GOOGLETRANSLATE(A1000,""fr"",""en"")"),"form")</f>
        <v>form</v>
      </c>
      <c r="E1000" s="3" t="str">
        <f ca="1">IFERROR(__xludf.DUMMYFUNCTION("GOOGLETRANSLATE(B1000,""fr"",""en"")"),"She is training a new generation of leaders.")</f>
        <v>She is training a new generation of leaders.</v>
      </c>
    </row>
    <row r="1001" spans="1:5" x14ac:dyDescent="0.25">
      <c r="A1001" s="2" t="s">
        <v>3002</v>
      </c>
      <c r="B1001" s="2" t="s">
        <v>3003</v>
      </c>
      <c r="C1001" s="3" t="s">
        <v>3004</v>
      </c>
      <c r="D1001" s="3" t="str">
        <f ca="1">IFERROR(__xludf.DUMMYFUNCTION("GOOGLETRANSLATE(A1001,""fr"",""en"")"),"to parish")</f>
        <v>to parish</v>
      </c>
      <c r="E1001" s="3" t="str">
        <f ca="1">IFERROR(__xludf.DUMMYFUNCTION("GOOGLETRANSLATE(B1001,""fr"",""en"")"),"It seems obvious that there is a misunderstanding.")</f>
        <v>It seems obvious that there is a misunderstanding.</v>
      </c>
    </row>
    <row r="1002" spans="1:5" x14ac:dyDescent="0.25">
      <c r="A1002" s="2" t="s">
        <v>3005</v>
      </c>
      <c r="B1002" s="2" t="s">
        <v>3006</v>
      </c>
      <c r="C1002" s="3" t="s">
        <v>3007</v>
      </c>
      <c r="D1002" s="3" t="str">
        <f ca="1">IFERROR(__xludf.DUMMYFUNCTION("GOOGLETRANSLATE(A1002,""fr"",""en"")"),"ariser")</f>
        <v>ariser</v>
      </c>
      <c r="E1002" s="3" t="str">
        <f ca="1">IFERROR(__xludf.DUMMYFUNCTION("GOOGLETRANSLATE(B1002,""fr"",""en"")"),"A new opportunity can arise at any time.")</f>
        <v>A new opportunity can arise at any time.</v>
      </c>
    </row>
    <row r="1003" spans="1:5" x14ac:dyDescent="0.25">
      <c r="A1003" s="2" t="s">
        <v>3008</v>
      </c>
      <c r="B1003" s="2" t="s">
        <v>3009</v>
      </c>
      <c r="C1003" s="3" t="s">
        <v>3010</v>
      </c>
      <c r="D1003" s="3" t="str">
        <f ca="1">IFERROR(__xludf.DUMMYFUNCTION("GOOGLETRANSLATE(A1003,""fr"",""en"")"),"serialize")</f>
        <v>serialize</v>
      </c>
      <c r="E1003" s="3" t="str">
        <f ca="1">IFERROR(__xludf.DUMMYFUNCTION("GOOGLETRANSLATE(B1003,""fr"",""en"")"),"Information must be categorized for in-depth analysis.")</f>
        <v>Information must be categorized for in-depth analysis.</v>
      </c>
    </row>
    <row r="1004" spans="1:5" x14ac:dyDescent="0.25">
      <c r="A1004" s="2" t="s">
        <v>3011</v>
      </c>
      <c r="B1004" s="2" t="s">
        <v>3012</v>
      </c>
      <c r="C1004" s="3" t="s">
        <v>3013</v>
      </c>
      <c r="D1004" s="3" t="str">
        <f ca="1">IFERROR(__xludf.DUMMYFUNCTION("GOOGLETRANSLATE(A1004,""fr"",""en"")"),"Liege")</f>
        <v>Liege</v>
      </c>
      <c r="E1004" s="3" t="str">
        <f ca="1">IFERROR(__xludf.DUMMYFUNCTION("GOOGLETRANSLATE(B1004,""fr"",""en"")"),"She corks the bottles to preserve them.")</f>
        <v>She corks the bottles to preserve them.</v>
      </c>
    </row>
    <row r="1005" spans="1:5" x14ac:dyDescent="0.25">
      <c r="A1005" s="2" t="s">
        <v>3014</v>
      </c>
      <c r="B1005" s="2" t="s">
        <v>3015</v>
      </c>
      <c r="C1005" s="3" t="s">
        <v>3016</v>
      </c>
      <c r="D1005" s="3" t="str">
        <f ca="1">IFERROR(__xludf.DUMMYFUNCTION("GOOGLETRANSLATE(A1005,""fr"",""en"")"),"to get drunk")</f>
        <v>to get drunk</v>
      </c>
      <c r="E1005" s="3" t="str">
        <f ca="1">IFERROR(__xludf.DUMMYFUNCTION("GOOGLETRANSLATE(B1005,""fr"",""en"")"),"Too much noise can quickly annoy the neighbors.")</f>
        <v>Too much noise can quickly annoy the neighbors.</v>
      </c>
    </row>
    <row r="1006" spans="1:5" x14ac:dyDescent="0.25">
      <c r="A1006" s="2" t="s">
        <v>3017</v>
      </c>
      <c r="B1006" s="2" t="s">
        <v>3018</v>
      </c>
      <c r="C1006" s="3" t="s">
        <v>3019</v>
      </c>
      <c r="D1006" s="3" t="str">
        <f ca="1">IFERROR(__xludf.DUMMYFUNCTION("GOOGLETRANSLATE(A1006,""fr"",""en"")"),"to catastrophize")</f>
        <v>to catastrophize</v>
      </c>
      <c r="E1006" s="3" t="str">
        <f ca="1">IFERROR(__xludf.DUMMYFUNCTION("GOOGLETRANSLATE(B1006,""fr"",""en"")"),"This film is likely to disastrous for the public.")</f>
        <v>This film is likely to disastrous for the public.</v>
      </c>
    </row>
    <row r="1007" spans="1:5" x14ac:dyDescent="0.25">
      <c r="A1007" s="2" t="s">
        <v>3020</v>
      </c>
      <c r="B1007" s="2" t="s">
        <v>3021</v>
      </c>
      <c r="C1007" s="3" t="s">
        <v>3022</v>
      </c>
      <c r="D1007" s="3" t="str">
        <f ca="1">IFERROR(__xludf.DUMMYFUNCTION("GOOGLETRANSLATE(A1007,""fr"",""en"")"),"to receive")</f>
        <v>to receive</v>
      </c>
      <c r="E1007" s="3" t="str">
        <f ca="1">IFERROR(__xludf.DUMMYFUNCTION("GOOGLETRANSLATE(B1007,""fr"",""en"")"),"They receive the trees after the storm.")</f>
        <v>They receive the trees after the storm.</v>
      </c>
    </row>
    <row r="1008" spans="1:5" x14ac:dyDescent="0.25">
      <c r="A1008" s="2" t="s">
        <v>3023</v>
      </c>
      <c r="B1008" s="2" t="s">
        <v>3024</v>
      </c>
      <c r="C1008" s="3" t="s">
        <v>3025</v>
      </c>
      <c r="D1008" s="3" t="str">
        <f ca="1">IFERROR(__xludf.DUMMYFUNCTION("GOOGLETRANSLATE(A1008,""fr"",""en"")"),"to cut")</f>
        <v>to cut</v>
      </c>
      <c r="E1008" s="3" t="str">
        <f ca="1">IFERROR(__xludf.DUMMYFUNCTION("GOOGLETRANSLATE(B1008,""fr"",""en"")"),"He cuts back the weeds in the garden.")</f>
        <v>He cuts back the weeds in the garden.</v>
      </c>
    </row>
    <row r="1009" spans="1:5" x14ac:dyDescent="0.25">
      <c r="A1009" s="2" t="s">
        <v>3026</v>
      </c>
      <c r="B1009" s="2" t="s">
        <v>3027</v>
      </c>
      <c r="C1009" s="3" t="s">
        <v>3028</v>
      </c>
      <c r="D1009" s="3" t="str">
        <f ca="1">IFERROR(__xludf.DUMMYFUNCTION("GOOGLETRANSLATE(A1009,""fr"",""en"")"),"to twist")</f>
        <v>to twist</v>
      </c>
      <c r="E1009" s="3" t="str">
        <f ca="1">IFERROR(__xludf.DUMMYFUNCTION("GOOGLETRANSLATE(B1009,""fr"",""en"")"),"Animals should never be tortured.")</f>
        <v>Animals should never be tortured.</v>
      </c>
    </row>
    <row r="1010" spans="1:5" x14ac:dyDescent="0.25">
      <c r="A1010" s="2" t="s">
        <v>3029</v>
      </c>
      <c r="B1010" s="2" t="s">
        <v>3030</v>
      </c>
      <c r="C1010" s="3" t="s">
        <v>3031</v>
      </c>
      <c r="D1010" s="3" t="str">
        <f ca="1">IFERROR(__xludf.DUMMYFUNCTION("GOOGLETRANSLATE(A1010,""fr"",""en"")"),"journalize")</f>
        <v>journalize</v>
      </c>
      <c r="E1010" s="3" t="str">
        <f ca="1">IFERROR(__xludf.DUMMYFUNCTION("GOOGLETRANSLATE(B1010,""fr"",""en"")"),"Every transaction must be logged carefully.")</f>
        <v>Every transaction must be logged carefully.</v>
      </c>
    </row>
    <row r="1011" spans="1:5" x14ac:dyDescent="0.25">
      <c r="A1011" s="2" t="s">
        <v>3032</v>
      </c>
      <c r="B1011" s="2" t="s">
        <v>3033</v>
      </c>
      <c r="C1011" s="3" t="s">
        <v>3034</v>
      </c>
      <c r="D1011" s="3" t="str">
        <f ca="1">IFERROR(__xludf.DUMMYFUNCTION("GOOGLETRANSLATE(A1011,""fr"",""en"")"),"to ride")</f>
        <v>to ride</v>
      </c>
      <c r="E1011" s="3" t="str">
        <f ca="1">IFERROR(__xludf.DUMMYFUNCTION("GOOGLETRANSLATE(B1011,""fr"",""en"")"),"She cuts her hair short for the summer.")</f>
        <v>She cuts her hair short for the summer.</v>
      </c>
    </row>
    <row r="1012" spans="1:5" x14ac:dyDescent="0.25">
      <c r="A1012" s="2" t="s">
        <v>3035</v>
      </c>
      <c r="B1012" s="2" t="s">
        <v>3036</v>
      </c>
      <c r="C1012" s="3" t="s">
        <v>3037</v>
      </c>
      <c r="D1012" s="3" t="str">
        <f ca="1">IFERROR(__xludf.DUMMYFUNCTION("GOOGLETRANSLATE(A1012,""fr"",""en"")"),"to sharpen")</f>
        <v>to sharpen</v>
      </c>
      <c r="E1012" s="3" t="str">
        <f ca="1">IFERROR(__xludf.DUMMYFUNCTION("GOOGLETRANSLATE(B1012,""fr"",""en"")"),"The knife must be sharp to cut precisely.")</f>
        <v>The knife must be sharp to cut precisely.</v>
      </c>
    </row>
    <row r="1013" spans="1:5" x14ac:dyDescent="0.25">
      <c r="A1013" s="2" t="s">
        <v>3038</v>
      </c>
      <c r="B1013" s="2" t="s">
        <v>3039</v>
      </c>
      <c r="C1013" s="3" t="s">
        <v>3040</v>
      </c>
      <c r="D1013" s="3" t="str">
        <f ca="1">IFERROR(__xludf.DUMMYFUNCTION("GOOGLETRANSLATE(A1013,""fr"",""en"")"),"label")</f>
        <v>label</v>
      </c>
      <c r="E1013" s="3" t="str">
        <f ca="1">IFERROR(__xludf.DUMMYFUNCTION("GOOGLETRANSLATE(B1013,""fr"",""en"")"),"She labels the jars to identify them.")</f>
        <v>She labels the jars to identify them.</v>
      </c>
    </row>
    <row r="1014" spans="1:5" x14ac:dyDescent="0.25">
      <c r="A1014" s="2" t="s">
        <v>3041</v>
      </c>
      <c r="B1014" s="2" t="s">
        <v>3042</v>
      </c>
      <c r="C1014" s="3" t="s">
        <v>3043</v>
      </c>
      <c r="D1014" s="3" t="str">
        <f ca="1">IFERROR(__xludf.DUMMYFUNCTION("GOOGLETRANSLATE(A1014,""fr"",""en"")"),"architect")</f>
        <v>architect</v>
      </c>
      <c r="E1014" s="3" t="str">
        <f ca="1">IFERROR(__xludf.DUMMYFUNCTION("GOOGLETRANSLATE(B1014,""fr"",""en"")"),"The architect must design an innovative building.")</f>
        <v>The architect must design an innovative building.</v>
      </c>
    </row>
    <row r="1015" spans="1:5" x14ac:dyDescent="0.25">
      <c r="A1015" s="2" t="s">
        <v>3044</v>
      </c>
      <c r="B1015" s="2" t="s">
        <v>3045</v>
      </c>
      <c r="C1015" s="3" t="s">
        <v>3046</v>
      </c>
      <c r="D1015" s="3" t="str">
        <f ca="1">IFERROR(__xludf.DUMMYFUNCTION("GOOGLETRANSLATE(A1015,""fr"",""en"")"),"to renew")</f>
        <v>to renew</v>
      </c>
      <c r="E1015" s="3" t="str">
        <f ca="1">IFERROR(__xludf.DUMMYFUNCTION("GOOGLETRANSLATE(B1015,""fr"",""en"")"),"They enthusiastically renew their contract.")</f>
        <v>They enthusiastically renew their contract.</v>
      </c>
    </row>
    <row r="1016" spans="1:5" x14ac:dyDescent="0.25">
      <c r="A1016" s="2" t="s">
        <v>3047</v>
      </c>
      <c r="B1016" s="2" t="s">
        <v>3048</v>
      </c>
      <c r="C1016" s="3" t="s">
        <v>3049</v>
      </c>
      <c r="D1016" s="3" t="str">
        <f ca="1">IFERROR(__xludf.DUMMYFUNCTION("GOOGLETRANSLATE(A1016,""fr"",""en"")"),"regulate")</f>
        <v>regulate</v>
      </c>
      <c r="E1016" s="3" t="str">
        <f ca="1">IFERROR(__xludf.DUMMYFUNCTION("GOOGLETRANSLATE(B1016,""fr"",""en"")"),"The government regulates this industry.")</f>
        <v>The government regulates this industry.</v>
      </c>
    </row>
    <row r="1017" spans="1:5" x14ac:dyDescent="0.25">
      <c r="A1017" s="2" t="s">
        <v>3050</v>
      </c>
      <c r="B1017" s="2" t="s">
        <v>3051</v>
      </c>
      <c r="C1017" s="3" t="s">
        <v>3052</v>
      </c>
      <c r="D1017" s="3" t="str">
        <f ca="1">IFERROR(__xludf.DUMMYFUNCTION("GOOGLETRANSLATE(A1017,""fr"",""en"")"),"discipline")</f>
        <v>discipline</v>
      </c>
      <c r="E1017" s="3" t="str">
        <f ca="1">IFERROR(__xludf.DUMMYFUNCTION("GOOGLETRANSLATE(B1017,""fr"",""en"")"),"She disciplines her children with love.")</f>
        <v>She disciplines her children with love.</v>
      </c>
    </row>
    <row r="1018" spans="1:5" x14ac:dyDescent="0.25">
      <c r="A1018" s="2" t="s">
        <v>3053</v>
      </c>
      <c r="B1018" s="2" t="s">
        <v>3054</v>
      </c>
      <c r="C1018" s="3" t="s">
        <v>3055</v>
      </c>
      <c r="D1018" s="3" t="str">
        <f ca="1">IFERROR(__xludf.DUMMYFUNCTION("GOOGLETRANSLATE(A1018,""fr"",""en"")"),"to smoke")</f>
        <v>to smoke</v>
      </c>
      <c r="E1018" s="3" t="str">
        <f ca="1">IFERROR(__xludf.DUMMYFUNCTION("GOOGLETRANSLATE(B1018,""fr"",""en"")"),"He likes to smoke from time to time.")</f>
        <v>He likes to smoke from time to time.</v>
      </c>
    </row>
    <row r="1019" spans="1:5" x14ac:dyDescent="0.25">
      <c r="A1019" s="2" t="s">
        <v>3056</v>
      </c>
      <c r="B1019" s="2" t="s">
        <v>3057</v>
      </c>
      <c r="C1019" s="3" t="s">
        <v>3058</v>
      </c>
      <c r="D1019" s="3" t="str">
        <f ca="1">IFERROR(__xludf.DUMMYFUNCTION("GOOGLETRANSLATE(A1019,""fr"",""en"")"),"fast")</f>
        <v>fast</v>
      </c>
      <c r="E1019" s="3" t="str">
        <f ca="1">IFERROR(__xludf.DUMMYFUNCTION("GOOGLETRANSLATE(B1019,""fr"",""en"")"),"They fast every year during Ramadan.")</f>
        <v>They fast every year during Ramadan.</v>
      </c>
    </row>
    <row r="1020" spans="1:5" x14ac:dyDescent="0.25">
      <c r="A1020" s="2" t="s">
        <v>3059</v>
      </c>
      <c r="B1020" s="2" t="s">
        <v>3060</v>
      </c>
      <c r="C1020" s="3" t="s">
        <v>3061</v>
      </c>
      <c r="D1020" s="3" t="str">
        <f ca="1">IFERROR(__xludf.DUMMYFUNCTION("GOOGLETRANSLATE(A1020,""fr"",""en"")"),"fix")</f>
        <v>fix</v>
      </c>
      <c r="E1020" s="3" t="str">
        <f ca="1">IFERROR(__xludf.DUMMYFUNCTION("GOOGLETRANSLATE(B1020,""fr"",""en"")"),"He fixes the frame of the painting on the wall.")</f>
        <v>He fixes the frame of the painting on the wall.</v>
      </c>
    </row>
    <row r="1021" spans="1:5" x14ac:dyDescent="0.25">
      <c r="A1021" s="2" t="s">
        <v>3062</v>
      </c>
      <c r="B1021" s="2" t="s">
        <v>3063</v>
      </c>
      <c r="C1021" s="3" t="s">
        <v>3064</v>
      </c>
      <c r="D1021" s="3" t="str">
        <f ca="1">IFERROR(__xludf.DUMMYFUNCTION("GOOGLETRANSLATE(A1021,""fr"",""en"")"),"to hurt")</f>
        <v>to hurt</v>
      </c>
      <c r="E1021" s="3" t="str">
        <f ca="1">IFERROR(__xludf.DUMMYFUNCTION("GOOGLETRANSLATE(B1021,""fr"",""en"")"),"The injured player must rest.")</f>
        <v>The injured player must rest.</v>
      </c>
    </row>
    <row r="1022" spans="1:5" x14ac:dyDescent="0.25">
      <c r="A1022" s="2" t="s">
        <v>3065</v>
      </c>
      <c r="B1022" s="2" t="s">
        <v>3066</v>
      </c>
      <c r="C1022" s="3" t="s">
        <v>3067</v>
      </c>
      <c r="D1022" s="3" t="str">
        <f ca="1">IFERROR(__xludf.DUMMYFUNCTION("GOOGLETRANSLATE(A1022,""fr"",""en"")"),"to nerve")</f>
        <v>to nerve</v>
      </c>
      <c r="E1022" s="3" t="str">
        <f ca="1">IFERROR(__xludf.DUMMYFUNCTION("GOOGLETRANSLATE(B1022,""fr"",""en"")"),"Criticism can sometimes be annoying.")</f>
        <v>Criticism can sometimes be annoying.</v>
      </c>
    </row>
    <row r="1023" spans="1:5" x14ac:dyDescent="0.25">
      <c r="A1023" s="2" t="s">
        <v>3068</v>
      </c>
      <c r="B1023" s="2" t="s">
        <v>3069</v>
      </c>
      <c r="C1023" s="3" t="s">
        <v>3070</v>
      </c>
      <c r="D1023" s="3" t="str">
        <f ca="1">IFERROR(__xludf.DUMMYFUNCTION("GOOGLETRANSLATE(A1023,""fr"",""en"")"),"hook")</f>
        <v>hook</v>
      </c>
      <c r="E1023" s="3" t="str">
        <f ca="1">IFERROR(__xludf.DUMMYFUNCTION("GOOGLETRANSLATE(B1023,""fr"",""en"")"),"You have to hang the coat on the coat rack.")</f>
        <v>You have to hang the coat on the coat rack.</v>
      </c>
    </row>
    <row r="1024" spans="1:5" x14ac:dyDescent="0.25">
      <c r="A1024" s="2" t="s">
        <v>3071</v>
      </c>
      <c r="B1024" s="2" t="s">
        <v>3072</v>
      </c>
      <c r="C1024" s="3" t="s">
        <v>3073</v>
      </c>
      <c r="D1024" s="3" t="str">
        <f ca="1">IFERROR(__xludf.DUMMYFUNCTION("GOOGLETRANSLATE(A1024,""fr"",""en"")"),"to land")</f>
        <v>to land</v>
      </c>
      <c r="E1024" s="3" t="str">
        <f ca="1">IFERROR(__xludf.DUMMYFUNCTION("GOOGLETRANSLATE(B1024,""fr"",""en"")"),"This topic must be approached with caution.")</f>
        <v>This topic must be approached with caution.</v>
      </c>
    </row>
    <row r="1025" spans="1:5" x14ac:dyDescent="0.25">
      <c r="A1025" s="2" t="s">
        <v>3074</v>
      </c>
      <c r="B1025" s="2" t="s">
        <v>3075</v>
      </c>
      <c r="C1025" s="3" t="s">
        <v>3076</v>
      </c>
      <c r="D1025" s="3" t="str">
        <f ca="1">IFERROR(__xludf.DUMMYFUNCTION("GOOGLETRANSLATE(A1025,""fr"",""en"")"),"wind")</f>
        <v>wind</v>
      </c>
      <c r="E1025" s="3" t="str">
        <f ca="1">IFERROR(__xludf.DUMMYFUNCTION("GOOGLETRANSLATE(B1025,""fr"",""en"")"),"The road winds through the mountain.")</f>
        <v>The road winds through the mountain.</v>
      </c>
    </row>
    <row r="1026" spans="1:5" x14ac:dyDescent="0.25">
      <c r="A1026" s="2" t="s">
        <v>3077</v>
      </c>
      <c r="B1026" s="2" t="s">
        <v>3078</v>
      </c>
      <c r="C1026" s="3" t="s">
        <v>3079</v>
      </c>
      <c r="D1026" s="3" t="str">
        <f ca="1">IFERROR(__xludf.DUMMYFUNCTION("GOOGLETRANSLATE(A1026,""fr"",""en"")"),"to sweat")</f>
        <v>to sweat</v>
      </c>
      <c r="E1026" s="3" t="str">
        <f ca="1">IFERROR(__xludf.DUMMYFUNCTION("GOOGLETRANSLATE(B1026,""fr"",""en"")"),"The cold freezes your fingers in winter.")</f>
        <v>The cold freezes your fingers in winter.</v>
      </c>
    </row>
    <row r="1027" spans="1:5" x14ac:dyDescent="0.25">
      <c r="A1027" s="2" t="s">
        <v>3080</v>
      </c>
      <c r="B1027" s="2" t="s">
        <v>3081</v>
      </c>
      <c r="C1027" s="3" t="s">
        <v>3082</v>
      </c>
      <c r="D1027" s="3" t="str">
        <f ca="1">IFERROR(__xludf.DUMMYFUNCTION("GOOGLETRANSLATE(A1027,""fr"",""en"")"),"reconcile")</f>
        <v>reconcile</v>
      </c>
      <c r="E1027" s="3" t="str">
        <f ca="1">IFERROR(__xludf.DUMMYFUNCTION("GOOGLETRANSLATE(B1027,""fr"",""en"")"),"She managed to reconcile them after the argument.")</f>
        <v>She managed to reconcile them after the argument.</v>
      </c>
    </row>
    <row r="1028" spans="1:5" x14ac:dyDescent="0.25">
      <c r="A1028" s="2" t="s">
        <v>3083</v>
      </c>
      <c r="B1028" s="2" t="s">
        <v>3084</v>
      </c>
      <c r="C1028" s="3" t="s">
        <v>3085</v>
      </c>
      <c r="D1028" s="3" t="str">
        <f ca="1">IFERROR(__xludf.DUMMYFUNCTION("GOOGLETRANSLATE(A1028,""fr"",""en"")"),"to quota")</f>
        <v>to quota</v>
      </c>
      <c r="E1028" s="3" t="str">
        <f ca="1">IFERROR(__xludf.DUMMYFUNCTION("GOOGLETRANSLATE(B1028,""fr"",""en"")"),"They restrict the use of resources.")</f>
        <v>They restrict the use of resources.</v>
      </c>
    </row>
    <row r="1029" spans="1:5" x14ac:dyDescent="0.25">
      <c r="A1029" s="2" t="s">
        <v>3086</v>
      </c>
      <c r="B1029" s="2" t="s">
        <v>3087</v>
      </c>
      <c r="C1029" s="3" t="s">
        <v>3088</v>
      </c>
      <c r="D1029" s="3" t="str">
        <f ca="1">IFERROR(__xludf.DUMMYFUNCTION("GOOGLETRANSLATE(A1029,""fr"",""en"")"),"apply")</f>
        <v>apply</v>
      </c>
      <c r="E1029" s="3" t="str">
        <f ca="1">IFERROR(__xludf.DUMMYFUNCTION("GOOGLETRANSLATE(B1029,""fr"",""en"")"),"She will apply for the vacant position.")</f>
        <v>She will apply for the vacant position.</v>
      </c>
    </row>
    <row r="1030" spans="1:5" x14ac:dyDescent="0.25">
      <c r="A1030" s="2" t="s">
        <v>3089</v>
      </c>
      <c r="B1030" s="2" t="s">
        <v>3090</v>
      </c>
      <c r="C1030" s="3" t="s">
        <v>3091</v>
      </c>
      <c r="D1030" s="3" t="str">
        <f ca="1">IFERROR(__xludf.DUMMYFUNCTION("GOOGLETRANSLATE(A1030,""fr"",""en"")"),"to substantivate")</f>
        <v>to substantivate</v>
      </c>
      <c r="E1030" s="3" t="str">
        <f ca="1">IFERROR(__xludf.DUMMYFUNCTION("GOOGLETRANSLATE(B1030,""fr"",""en"")"),"He seeks to substantiate his arguments.")</f>
        <v>He seeks to substantiate his arguments.</v>
      </c>
    </row>
    <row r="1031" spans="1:5" x14ac:dyDescent="0.25">
      <c r="A1031" s="2" t="s">
        <v>3092</v>
      </c>
      <c r="B1031" s="2" t="s">
        <v>3093</v>
      </c>
      <c r="C1031" s="3" t="s">
        <v>3094</v>
      </c>
      <c r="D1031" s="3" t="str">
        <f ca="1">IFERROR(__xludf.DUMMYFUNCTION("GOOGLETRANSLATE(A1031,""fr"",""en"")"),"to contrive")</f>
        <v>to contrive</v>
      </c>
      <c r="E1031" s="3" t="str">
        <f ca="1">IFERROR(__xludf.DUMMYFUNCTION("GOOGLETRANSLATE(B1031,""fr"",""en"")"),"He strives to find innovative solutions.")</f>
        <v>He strives to find innovative solutions.</v>
      </c>
    </row>
    <row r="1032" spans="1:5" x14ac:dyDescent="0.25">
      <c r="A1032" s="2" t="s">
        <v>3095</v>
      </c>
      <c r="B1032" s="2" t="s">
        <v>3096</v>
      </c>
      <c r="C1032" s="3" t="s">
        <v>3097</v>
      </c>
      <c r="D1032" s="3" t="str">
        <f ca="1">IFERROR(__xludf.DUMMYFUNCTION("GOOGLETRANSLATE(A1032,""fr"",""en"")"),"bring back")</f>
        <v>bring back</v>
      </c>
      <c r="E1032" s="3" t="str">
        <f ca="1">IFERROR(__xludf.DUMMYFUNCTION("GOOGLETRANSLATE(B1032,""fr"",""en"")"),"She picks the children up after school.")</f>
        <v>She picks the children up after school.</v>
      </c>
    </row>
    <row r="1033" spans="1:5" x14ac:dyDescent="0.25">
      <c r="A1033" s="2" t="s">
        <v>3098</v>
      </c>
      <c r="B1033" s="2" t="s">
        <v>3099</v>
      </c>
      <c r="C1033" s="3" t="s">
        <v>3100</v>
      </c>
      <c r="D1033" s="3" t="str">
        <f ca="1">IFERROR(__xludf.DUMMYFUNCTION("GOOGLETRANSLATE(A1033,""fr"",""en"")"),"fill")</f>
        <v>fill</v>
      </c>
      <c r="E1033" s="3" t="str">
        <f ca="1">IFERROR(__xludf.DUMMYFUNCTION("GOOGLETRANSLATE(B1033,""fr"",""en"")"),"They fill out the registration form.")</f>
        <v>They fill out the registration form.</v>
      </c>
    </row>
    <row r="1034" spans="1:5" x14ac:dyDescent="0.25">
      <c r="A1034" s="2" t="s">
        <v>3101</v>
      </c>
      <c r="B1034" s="2" t="s">
        <v>3102</v>
      </c>
      <c r="C1034" s="3" t="s">
        <v>3103</v>
      </c>
      <c r="D1034" s="3" t="str">
        <f ca="1">IFERROR(__xludf.DUMMYFUNCTION("GOOGLETRANSLATE(A1034,""fr"",""en"")"),"to contract")</f>
        <v>to contract</v>
      </c>
      <c r="E1034" s="3" t="str">
        <f ca="1">IFERROR(__xludf.DUMMYFUNCTION("GOOGLETRANSLATE(B1034,""fr"",""en"")"),"The contract must be signed before signing.")</f>
        <v>The contract must be signed before signing.</v>
      </c>
    </row>
    <row r="1035" spans="1:5" x14ac:dyDescent="0.25">
      <c r="A1035" s="2" t="s">
        <v>3104</v>
      </c>
      <c r="B1035" s="2" t="s">
        <v>3105</v>
      </c>
      <c r="C1035" s="3" t="s">
        <v>3106</v>
      </c>
      <c r="D1035" s="3" t="str">
        <f ca="1">IFERROR(__xludf.DUMMYFUNCTION("GOOGLETRANSLATE(A1035,""fr"",""en"")"),"differentiate")</f>
        <v>differentiate</v>
      </c>
      <c r="E1035" s="3" t="str">
        <f ca="1">IFERROR(__xludf.DUMMYFUNCTION("GOOGLETRANSLATE(B1035,""fr"",""en"")"),"It is necessary to differentiate between the different types of contracts.")</f>
        <v>It is necessary to differentiate between the different types of contracts.</v>
      </c>
    </row>
    <row r="1036" spans="1:5" x14ac:dyDescent="0.25">
      <c r="A1036" s="2" t="s">
        <v>3107</v>
      </c>
      <c r="B1036" s="2" t="s">
        <v>3108</v>
      </c>
      <c r="C1036" s="3" t="s">
        <v>3109</v>
      </c>
      <c r="D1036" s="3" t="str">
        <f ca="1">IFERROR(__xludf.DUMMYFUNCTION("GOOGLETRANSLATE(A1036,""fr"",""en"")"),"cherish")</f>
        <v>cherish</v>
      </c>
      <c r="E1036" s="3" t="str">
        <f ca="1">IFERROR(__xludf.DUMMYFUNCTION("GOOGLETRANSLATE(B1036,""fr"",""en"")"),"She cherishes every moment spent with her family.")</f>
        <v>She cherishes every moment spent with her family.</v>
      </c>
    </row>
    <row r="1037" spans="1:5" x14ac:dyDescent="0.25">
      <c r="A1037" s="2" t="s">
        <v>3110</v>
      </c>
      <c r="B1037" s="2" t="s">
        <v>3111</v>
      </c>
      <c r="C1037" s="3" t="s">
        <v>3112</v>
      </c>
      <c r="D1037" s="3" t="str">
        <f ca="1">IFERROR(__xludf.DUMMYFUNCTION("GOOGLETRANSLATE(A1037,""fr"",""en"")"),"test")</f>
        <v>test</v>
      </c>
      <c r="E1037" s="3" t="str">
        <f ca="1">IFERROR(__xludf.DUMMYFUNCTION("GOOGLETRANSLATE(B1037,""fr"",""en"")"),"They test the new software before launch.")</f>
        <v>They test the new software before launch.</v>
      </c>
    </row>
    <row r="1038" spans="1:5" x14ac:dyDescent="0.25">
      <c r="A1038" s="2" t="s">
        <v>3113</v>
      </c>
      <c r="B1038" s="2" t="s">
        <v>3114</v>
      </c>
      <c r="C1038" s="3" t="s">
        <v>3115</v>
      </c>
      <c r="D1038" s="3" t="str">
        <f ca="1">IFERROR(__xludf.DUMMYFUNCTION("GOOGLETRANSLATE(A1038,""fr"",""en"")"),"to incapacitate")</f>
        <v>to incapacitate</v>
      </c>
      <c r="E1038" s="3" t="str">
        <f ca="1">IFERROR(__xludf.DUMMYFUNCTION("GOOGLETRANSLATE(B1038,""fr"",""en"")"),"Disability can sometimes incapacitate a person.")</f>
        <v>Disability can sometimes incapacitate a person.</v>
      </c>
    </row>
    <row r="1039" spans="1:5" x14ac:dyDescent="0.25">
      <c r="A1039" s="2" t="s">
        <v>3116</v>
      </c>
      <c r="B1039" s="2" t="s">
        <v>3117</v>
      </c>
      <c r="C1039" s="3" t="s">
        <v>3118</v>
      </c>
      <c r="D1039" s="3" t="str">
        <f ca="1">IFERROR(__xludf.DUMMYFUNCTION("GOOGLETRANSLATE(A1039,""fr"",""en"")"),"translate")</f>
        <v>translate</v>
      </c>
      <c r="E1039" s="3" t="str">
        <f ca="1">IFERROR(__xludf.DUMMYFUNCTION("GOOGLETRANSLATE(B1039,""fr"",""en"")"),"This document needs to be translated into several languages.")</f>
        <v>This document needs to be translated into several languages.</v>
      </c>
    </row>
    <row r="1040" spans="1:5" x14ac:dyDescent="0.25">
      <c r="A1040" s="2" t="s">
        <v>3119</v>
      </c>
      <c r="B1040" s="2" t="s">
        <v>3120</v>
      </c>
      <c r="C1040" s="3" t="s">
        <v>3121</v>
      </c>
      <c r="D1040" s="3" t="str">
        <f ca="1">IFERROR(__xludf.DUMMYFUNCTION("GOOGLETRANSLATE(A1040,""fr"",""en"")"),"revolutionize")</f>
        <v>revolutionize</v>
      </c>
      <c r="E1040" s="3" t="str">
        <f ca="1">IFERROR(__xludf.DUMMYFUNCTION("GOOGLETRANSLATE(B1040,""fr"",""en"")"),"This invention revolutionized the industry.")</f>
        <v>This invention revolutionized the industry.</v>
      </c>
    </row>
    <row r="1041" spans="1:5" x14ac:dyDescent="0.25">
      <c r="A1041" s="2" t="s">
        <v>3122</v>
      </c>
      <c r="B1041" s="2" t="s">
        <v>3123</v>
      </c>
      <c r="C1041" s="3" t="s">
        <v>3124</v>
      </c>
      <c r="D1041" s="3" t="str">
        <f ca="1">IFERROR(__xludf.DUMMYFUNCTION("GOOGLETRANSLATE(A1041,""fr"",""en"")"),"to span")</f>
        <v>to span</v>
      </c>
      <c r="E1041" s="3" t="str">
        <f ca="1">IFERROR(__xludf.DUMMYFUNCTION("GOOGLETRANSLATE(B1041,""fr"",""en"")"),"The new aircraft has a large wingspan.")</f>
        <v>The new aircraft has a large wingspan.</v>
      </c>
    </row>
    <row r="1042" spans="1:5" x14ac:dyDescent="0.25">
      <c r="A1042" s="2" t="s">
        <v>3125</v>
      </c>
      <c r="B1042" s="2" t="s">
        <v>3126</v>
      </c>
      <c r="C1042" s="3" t="s">
        <v>3127</v>
      </c>
      <c r="D1042" s="3" t="str">
        <f ca="1">IFERROR(__xludf.DUMMYFUNCTION("GOOGLETRANSLATE(A1042,""fr"",""en"")"),"to open")</f>
        <v>to open</v>
      </c>
      <c r="E1042" s="3" t="str">
        <f ca="1">IFERROR(__xludf.DUMMYFUNCTION("GOOGLETRANSLATE(B1042,""fr"",""en"")"),"They are opening a new branch abroad.")</f>
        <v>They are opening a new branch abroad.</v>
      </c>
    </row>
    <row r="1043" spans="1:5" x14ac:dyDescent="0.25">
      <c r="A1043" s="2" t="s">
        <v>3128</v>
      </c>
      <c r="B1043" s="2" t="s">
        <v>3129</v>
      </c>
      <c r="C1043" s="3" t="s">
        <v>3130</v>
      </c>
      <c r="D1043" s="3" t="str">
        <f ca="1">IFERROR(__xludf.DUMMYFUNCTION("GOOGLETRANSLATE(A1043,""fr"",""en"")"),"to stage")</f>
        <v>to stage</v>
      </c>
      <c r="E1043" s="3" t="str">
        <f ca="1">IFERROR(__xludf.DUMMYFUNCTION("GOOGLETRANSLATE(B1043,""fr"",""en"")"),"Information needs to be layered for better understanding.")</f>
        <v>Information needs to be layered for better understanding.</v>
      </c>
    </row>
    <row r="1044" spans="1:5" x14ac:dyDescent="0.25">
      <c r="A1044" s="2" t="s">
        <v>3131</v>
      </c>
      <c r="B1044" s="2" t="s">
        <v>3132</v>
      </c>
      <c r="C1044" s="3" t="s">
        <v>3133</v>
      </c>
      <c r="D1044" s="3" t="str">
        <f ca="1">IFERROR(__xludf.DUMMYFUNCTION("GOOGLETRANSLATE(A1044,""fr"",""en"")"),"to debate")</f>
        <v>to debate</v>
      </c>
      <c r="E1044" s="3" t="str">
        <f ca="1">IFERROR(__xludf.DUMMYFUNCTION("GOOGLETRANSLATE(B1044,""fr"",""en"")"),"They debate the terms of the contract.")</f>
        <v>They debate the terms of the contract.</v>
      </c>
    </row>
    <row r="1045" spans="1:5" x14ac:dyDescent="0.25">
      <c r="A1045" s="2" t="s">
        <v>3134</v>
      </c>
      <c r="B1045" s="2" t="s">
        <v>3135</v>
      </c>
      <c r="C1045" s="3" t="s">
        <v>3136</v>
      </c>
      <c r="D1045" s="3" t="str">
        <f ca="1">IFERROR(__xludf.DUMMYFUNCTION("GOOGLETRANSLATE(A1045,""fr"",""en"")"),"to technicalize")</f>
        <v>to technicalize</v>
      </c>
      <c r="E1045" s="3" t="str">
        <f ca="1">IFERROR(__xludf.DUMMYFUNCTION("GOOGLETRANSLATE(B1045,""fr"",""en"")"),"Technology has technicalized many processes.")</f>
        <v>Technology has technicalized many processes.</v>
      </c>
    </row>
    <row r="1046" spans="1:5" x14ac:dyDescent="0.25">
      <c r="A1046" s="2" t="s">
        <v>3137</v>
      </c>
      <c r="B1046" s="2" t="s">
        <v>3138</v>
      </c>
      <c r="C1046" s="3" t="s">
        <v>3139</v>
      </c>
      <c r="D1046" s="3" t="str">
        <f ca="1">IFERROR(__xludf.DUMMYFUNCTION("GOOGLETRANSLATE(A1046,""fr"",""en"")"),"administer")</f>
        <v>administer</v>
      </c>
      <c r="E1046" s="3" t="str">
        <f ca="1">IFERROR(__xludf.DUMMYFUNCTION("GOOGLETRANSLATE(B1046,""fr"",""en"")"),"She runs the office efficiently.")</f>
        <v>She runs the office efficiently.</v>
      </c>
    </row>
    <row r="1047" spans="1:5" x14ac:dyDescent="0.25">
      <c r="A1047" s="2" t="s">
        <v>3140</v>
      </c>
      <c r="B1047" s="2" t="s">
        <v>3141</v>
      </c>
      <c r="C1047" s="3" t="s">
        <v>3142</v>
      </c>
      <c r="D1047" s="3" t="str">
        <f ca="1">IFERROR(__xludf.DUMMYFUNCTION("GOOGLETRANSLATE(A1047,""fr"",""en"")"),"to deconstruct")</f>
        <v>to deconstruct</v>
      </c>
      <c r="E1047" s="3" t="str">
        <f ca="1">IFERROR(__xludf.DUMMYFUNCTION("GOOGLETRANSLATE(B1047,""fr"",""en"")"),"They are demolishing the old building to build a new one.")</f>
        <v>They are demolishing the old building to build a new one.</v>
      </c>
    </row>
    <row r="1048" spans="1:5" x14ac:dyDescent="0.25">
      <c r="A1048" s="2" t="s">
        <v>3143</v>
      </c>
      <c r="B1048" s="2" t="s">
        <v>3144</v>
      </c>
      <c r="C1048" s="3" t="s">
        <v>3145</v>
      </c>
      <c r="D1048" s="3" t="str">
        <f ca="1">IFERROR(__xludf.DUMMYFUNCTION("GOOGLETRANSLATE(A1048,""fr"",""en"")"),"adjust")</f>
        <v>adjust</v>
      </c>
      <c r="E1048" s="3" t="str">
        <f ca="1">IFERROR(__xludf.DUMMYFUNCTION("GOOGLETRANSLATE(B1048,""fr"",""en"")"),"He adjusts the settings to get the best result.")</f>
        <v>He adjusts the settings to get the best result.</v>
      </c>
    </row>
    <row r="1049" spans="1:5" x14ac:dyDescent="0.25">
      <c r="A1049" s="2" t="s">
        <v>3146</v>
      </c>
      <c r="B1049" s="2" t="s">
        <v>3147</v>
      </c>
      <c r="C1049" s="3" t="s">
        <v>3148</v>
      </c>
      <c r="D1049" s="3" t="str">
        <f ca="1">IFERROR(__xludf.DUMMYFUNCTION("GOOGLETRANSLATE(A1049,""fr"",""en"")"),"to saurir")</f>
        <v>to saurir</v>
      </c>
      <c r="E1049" s="3" t="str">
        <f ca="1">IFERROR(__xludf.DUMMYFUNCTION("GOOGLETRANSLATE(B1049,""fr"",""en"")"),"He will know what to do in this situation.")</f>
        <v>He will know what to do in this situation.</v>
      </c>
    </row>
    <row r="1050" spans="1:5" x14ac:dyDescent="0.25">
      <c r="A1050" s="2" t="s">
        <v>3149</v>
      </c>
      <c r="B1050" s="2" t="s">
        <v>3150</v>
      </c>
      <c r="C1050" s="3" t="s">
        <v>3151</v>
      </c>
      <c r="D1050" s="3" t="str">
        <f ca="1">IFERROR(__xludf.DUMMYFUNCTION("GOOGLETRANSLATE(A1050,""fr"",""en"")"),"to wax")</f>
        <v>to wax</v>
      </c>
      <c r="E1050" s="3" t="str">
        <f ca="1">IFERROR(__xludf.DUMMYFUNCTION("GOOGLETRANSLATE(B1050,""fr"",""en"")"),"She needs skis before going down the slope.")</f>
        <v>She needs skis before going down the slope.</v>
      </c>
    </row>
    <row r="1051" spans="1:5" x14ac:dyDescent="0.25">
      <c r="A1051" s="2" t="s">
        <v>3152</v>
      </c>
      <c r="B1051" s="2" t="s">
        <v>3153</v>
      </c>
      <c r="C1051" s="3" t="s">
        <v>3154</v>
      </c>
      <c r="D1051" s="3" t="str">
        <f ca="1">IFERROR(__xludf.DUMMYFUNCTION("GOOGLETRANSLATE(A1051,""fr"",""en"")"),"to argue")</f>
        <v>to argue</v>
      </c>
      <c r="E1051" s="3" t="str">
        <f ca="1">IFERROR(__xludf.DUMMYFUNCTION("GOOGLETRANSLATE(B1051,""fr"",""en"")"),"They often argue about political issues.")</f>
        <v>They often argue about political issues.</v>
      </c>
    </row>
    <row r="1052" spans="1:5" x14ac:dyDescent="0.25">
      <c r="A1052" s="2" t="s">
        <v>3155</v>
      </c>
      <c r="B1052" s="2" t="s">
        <v>3156</v>
      </c>
      <c r="C1052" s="3" t="s">
        <v>3157</v>
      </c>
      <c r="D1052" s="3" t="str">
        <f ca="1">IFERROR(__xludf.DUMMYFUNCTION("GOOGLETRANSLATE(A1052,""fr"",""en"")"),"to bruise")</f>
        <v>to bruise</v>
      </c>
      <c r="E1052" s="3" t="str">
        <f ca="1">IFERROR(__xludf.DUMMYFUNCTION("GOOGLETRANSLATE(B1052,""fr"",""en"")"),"Crime can devastate an entire community.")</f>
        <v>Crime can devastate an entire community.</v>
      </c>
    </row>
    <row r="1053" spans="1:5" x14ac:dyDescent="0.25">
      <c r="A1053" s="2" t="s">
        <v>3158</v>
      </c>
      <c r="B1053" s="2" t="s">
        <v>3159</v>
      </c>
      <c r="C1053" s="3" t="s">
        <v>3160</v>
      </c>
      <c r="D1053" s="3" t="str">
        <f ca="1">IFERROR(__xludf.DUMMYFUNCTION("GOOGLETRANSLATE(A1053,""fr"",""en"")"),"reciprocate")</f>
        <v>reciprocate</v>
      </c>
      <c r="E1053" s="3" t="str">
        <f ca="1">IFERROR(__xludf.DUMMYFUNCTION("GOOGLETRANSLATE(B1053,""fr"",""en"")"),"They exchange warm smiles.")</f>
        <v>They exchange warm smiles.</v>
      </c>
    </row>
    <row r="1054" spans="1:5" x14ac:dyDescent="0.25">
      <c r="A1054" s="2" t="s">
        <v>3161</v>
      </c>
      <c r="B1054" s="2" t="s">
        <v>3162</v>
      </c>
      <c r="C1054" s="3" t="s">
        <v>3163</v>
      </c>
      <c r="D1054" s="3" t="str">
        <f ca="1">IFERROR(__xludf.DUMMYFUNCTION("GOOGLETRANSLATE(A1054,""fr"",""en"")"),"lean")</f>
        <v>lean</v>
      </c>
      <c r="E1054" s="3" t="str">
        <f ca="1">IFERROR(__xludf.DUMMYFUNCTION("GOOGLETRANSLATE(B1054,""fr"",""en"")"),"He tilts his head to hear better.")</f>
        <v>He tilts his head to hear better.</v>
      </c>
    </row>
    <row r="1055" spans="1:5" x14ac:dyDescent="0.25">
      <c r="A1055" s="2" t="s">
        <v>3164</v>
      </c>
      <c r="B1055" s="2" t="s">
        <v>3165</v>
      </c>
      <c r="C1055" s="3" t="s">
        <v>3166</v>
      </c>
      <c r="D1055" s="3" t="str">
        <f ca="1">IFERROR(__xludf.DUMMYFUNCTION("GOOGLETRANSLATE(A1055,""fr"",""en"")"),"antagonize")</f>
        <v>antagonize</v>
      </c>
      <c r="E1055" s="3" t="str">
        <f ca="1">IFERROR(__xludf.DUMMYFUNCTION("GOOGLETRANSLATE(B1055,""fr"",""en"")"),"Conflict can sometimes antagonize people.")</f>
        <v>Conflict can sometimes antagonize people.</v>
      </c>
    </row>
    <row r="1056" spans="1:5" x14ac:dyDescent="0.25">
      <c r="A1056" s="2" t="s">
        <v>3167</v>
      </c>
      <c r="B1056" s="2" t="s">
        <v>3168</v>
      </c>
      <c r="C1056" s="3" t="s">
        <v>3169</v>
      </c>
      <c r="D1056" s="3" t="str">
        <f ca="1">IFERROR(__xludf.DUMMYFUNCTION("GOOGLETRANSLATE(A1056,""fr"",""en"")"),"ink")</f>
        <v>ink</v>
      </c>
      <c r="E1056" s="3" t="str">
        <f ca="1">IFERROR(__xludf.DUMMYFUNCTION("GOOGLETRANSLATE(B1056,""fr"",""en"")"),"Drawings must be inked to make them permanent.")</f>
        <v>Drawings must be inked to make them permanent.</v>
      </c>
    </row>
    <row r="1057" spans="1:5" x14ac:dyDescent="0.25">
      <c r="A1057" s="2" t="s">
        <v>3170</v>
      </c>
      <c r="B1057" s="2" t="s">
        <v>3171</v>
      </c>
      <c r="C1057" s="3" t="s">
        <v>3172</v>
      </c>
      <c r="D1057" s="3" t="str">
        <f ca="1">IFERROR(__xludf.DUMMYFUNCTION("GOOGLETRANSLATE(A1057,""fr"",""en"")"),"insist")</f>
        <v>insist</v>
      </c>
      <c r="E1057" s="3" t="str">
        <f ca="1">IFERROR(__xludf.DUMMYFUNCTION("GOOGLETRANSLATE(B1057,""fr"",""en"")"),"She emphasizes the importance of punctuality.")</f>
        <v>She emphasizes the importance of punctuality.</v>
      </c>
    </row>
    <row r="1058" spans="1:5" x14ac:dyDescent="0.25">
      <c r="A1058" s="2" t="s">
        <v>3173</v>
      </c>
      <c r="B1058" s="2" t="s">
        <v>3174</v>
      </c>
      <c r="C1058" s="3" t="s">
        <v>3175</v>
      </c>
      <c r="D1058" s="3" t="str">
        <f ca="1">IFERROR(__xludf.DUMMYFUNCTION("GOOGLETRANSLATE(A1058,""fr"",""en"")"),"breakfast")</f>
        <v>breakfast</v>
      </c>
      <c r="E1058" s="3" t="str">
        <f ca="1">IFERROR(__xludf.DUMMYFUNCTION("GOOGLETRANSLATE(B1058,""fr"",""en"")"),"Breakfast is the most important meal of the day.")</f>
        <v>Breakfast is the most important meal of the day.</v>
      </c>
    </row>
    <row r="1059" spans="1:5" x14ac:dyDescent="0.25">
      <c r="A1059" s="2" t="s">
        <v>3176</v>
      </c>
      <c r="B1059" s="2" t="s">
        <v>3177</v>
      </c>
      <c r="C1059" s="3" t="s">
        <v>3178</v>
      </c>
      <c r="D1059" s="3" t="str">
        <f ca="1">IFERROR(__xludf.DUMMYFUNCTION("GOOGLETRANSLATE(A1059,""fr"",""en"")"),"exist")</f>
        <v>exist</v>
      </c>
      <c r="E1059" s="3" t="str">
        <f ca="1">IFERROR(__xludf.DUMMYFUNCTION("GOOGLETRANSLATE(B1059,""fr"",""en"")"),"They have been around for over a hundred years.")</f>
        <v>They have been around for over a hundred years.</v>
      </c>
    </row>
    <row r="1060" spans="1:5" x14ac:dyDescent="0.25">
      <c r="A1060" s="2" t="s">
        <v>3179</v>
      </c>
      <c r="B1060" s="2" t="s">
        <v>3180</v>
      </c>
      <c r="C1060" s="3" t="s">
        <v>3181</v>
      </c>
      <c r="D1060" s="3" t="str">
        <f ca="1">IFERROR(__xludf.DUMMYFUNCTION("GOOGLETRANSLATE(A1060,""fr"",""en"")"),"graduate")</f>
        <v>graduate</v>
      </c>
      <c r="E1060" s="3" t="str">
        <f ca="1">IFERROR(__xludf.DUMMYFUNCTION("GOOGLETRANSLATE(B1060,""fr"",""en"")"),"He graduates every year with better results.")</f>
        <v>He graduates every year with better results.</v>
      </c>
    </row>
    <row r="1061" spans="1:5" x14ac:dyDescent="0.25">
      <c r="A1061" s="2" t="s">
        <v>3182</v>
      </c>
      <c r="B1061" s="2" t="s">
        <v>3183</v>
      </c>
      <c r="C1061" s="3" t="s">
        <v>3184</v>
      </c>
      <c r="D1061" s="3" t="str">
        <f ca="1">IFERROR(__xludf.DUMMYFUNCTION("GOOGLETRANSLATE(A1061,""fr"",""en"")"),"postpone")</f>
        <v>postpone</v>
      </c>
      <c r="E1061" s="3" t="str">
        <f ca="1">IFERROR(__xludf.DUMMYFUNCTION("GOOGLETRANSLATE(B1061,""fr"",""en"")"),"He has to postpone the meeting until tomorrow.")</f>
        <v>He has to postpone the meeting until tomorrow.</v>
      </c>
    </row>
    <row r="1062" spans="1:5" x14ac:dyDescent="0.25">
      <c r="A1062" s="2" t="s">
        <v>3185</v>
      </c>
      <c r="B1062" s="2" t="s">
        <v>3186</v>
      </c>
      <c r="C1062" s="3" t="s">
        <v>3187</v>
      </c>
      <c r="D1062" s="3" t="str">
        <f ca="1">IFERROR(__xludf.DUMMYFUNCTION("GOOGLETRANSLATE(A1062,""fr"",""en"")"),"calter")</f>
        <v>calter</v>
      </c>
      <c r="E1062" s="3" t="str">
        <f ca="1">IFERROR(__xludf.DUMMYFUNCTION("GOOGLETRANSLATE(B1062,""fr"",""en"")"),"He slows his movements to avoid making noise.")</f>
        <v>He slows his movements to avoid making noise.</v>
      </c>
    </row>
    <row r="1063" spans="1:5" x14ac:dyDescent="0.25">
      <c r="A1063" s="2" t="s">
        <v>3188</v>
      </c>
      <c r="B1063" s="2" t="s">
        <v>3189</v>
      </c>
      <c r="C1063" s="3" t="s">
        <v>3190</v>
      </c>
      <c r="D1063" s="3" t="str">
        <f ca="1">IFERROR(__xludf.DUMMYFUNCTION("GOOGLETRANSLATE(A1063,""fr"",""en"")"),"to clapper")</f>
        <v>to clapper</v>
      </c>
      <c r="E1063" s="3" t="str">
        <f ca="1">IFERROR(__xludf.DUMMYFUNCTION("GOOGLETRANSLATE(B1063,""fr"",""en"")"),"The hammer hits the nail.")</f>
        <v>The hammer hits the nail.</v>
      </c>
    </row>
    <row r="1064" spans="1:5" x14ac:dyDescent="0.25">
      <c r="A1064" s="2" t="s">
        <v>3191</v>
      </c>
      <c r="B1064" s="2" t="s">
        <v>3192</v>
      </c>
      <c r="C1064" s="3" t="s">
        <v>3193</v>
      </c>
      <c r="D1064" s="3" t="str">
        <f ca="1">IFERROR(__xludf.DUMMYFUNCTION("GOOGLETRANSLATE(A1064,""fr"",""en"")"),"strive")</f>
        <v>strive</v>
      </c>
      <c r="E1064" s="3" t="str">
        <f ca="1">IFERROR(__xludf.DUMMYFUNCTION("GOOGLETRANSLATE(B1064,""fr"",""en"")"),"He always strives to achieve his goals.")</f>
        <v>He always strives to achieve his goals.</v>
      </c>
    </row>
    <row r="1065" spans="1:5" x14ac:dyDescent="0.25">
      <c r="A1065" s="2" t="s">
        <v>3194</v>
      </c>
      <c r="B1065" s="2" t="s">
        <v>3195</v>
      </c>
      <c r="C1065" s="3" t="s">
        <v>3196</v>
      </c>
      <c r="D1065" s="3" t="str">
        <f ca="1">IFERROR(__xludf.DUMMYFUNCTION("GOOGLETRANSLATE(A1065,""fr"",""en"")"),"to desertify")</f>
        <v>to desertify</v>
      </c>
      <c r="E1065" s="3" t="str">
        <f ca="1">IFERROR(__xludf.DUMMYFUNCTION("GOOGLETRANSLATE(B1065,""fr"",""en"")"),"The region is slowly becoming desertified due to the climate.")</f>
        <v>The region is slowly becoming desertified due to the climate.</v>
      </c>
    </row>
    <row r="1066" spans="1:5" x14ac:dyDescent="0.25">
      <c r="A1066" s="2" t="s">
        <v>3197</v>
      </c>
      <c r="B1066" s="2" t="s">
        <v>3198</v>
      </c>
      <c r="C1066" s="3" t="s">
        <v>3199</v>
      </c>
      <c r="D1066" s="3" t="str">
        <f ca="1">IFERROR(__xludf.DUMMYFUNCTION("GOOGLETRANSLATE(A1066,""fr"",""en"")"),"to sand")</f>
        <v>to sand</v>
      </c>
      <c r="E1066" s="3" t="str">
        <f ca="1">IFERROR(__xludf.DUMMYFUNCTION("GOOGLETRANSLATE(B1066,""fr"",""en"")"),"The cogs must be sanded to prevent wear.")</f>
        <v>The cogs must be sanded to prevent wear.</v>
      </c>
    </row>
    <row r="1067" spans="1:5" x14ac:dyDescent="0.25">
      <c r="A1067" s="2" t="s">
        <v>3200</v>
      </c>
      <c r="B1067" s="2" t="s">
        <v>3201</v>
      </c>
      <c r="C1067" s="3" t="s">
        <v>3202</v>
      </c>
      <c r="D1067" s="3" t="str">
        <f ca="1">IFERROR(__xludf.DUMMYFUNCTION("GOOGLETRANSLATE(A1067,""fr"",""en"")"),"to sinize")</f>
        <v>to sinize</v>
      </c>
      <c r="E1067" s="3" t="str">
        <f ca="1">IFERROR(__xludf.DUMMYFUNCTION("GOOGLETRANSLATE(B1067,""fr"",""en"")"),"The roads are covered in melting snow.")</f>
        <v>The roads are covered in melting snow.</v>
      </c>
    </row>
    <row r="1068" spans="1:5" x14ac:dyDescent="0.25">
      <c r="A1068" s="2" t="s">
        <v>3203</v>
      </c>
      <c r="B1068" s="2" t="s">
        <v>3204</v>
      </c>
      <c r="C1068" s="3" t="s">
        <v>3205</v>
      </c>
      <c r="D1068" s="3" t="str">
        <f ca="1">IFERROR(__xludf.DUMMYFUNCTION("GOOGLETRANSLATE(A1068,""fr"",""en"")"),"stereotype")</f>
        <v>stereotype</v>
      </c>
      <c r="E1068" s="3" t="str">
        <f ca="1">IFERROR(__xludf.DUMMYFUNCTION("GOOGLETRANSLATE(B1068,""fr"",""en"")"),"This type of stereotyping can be harmful.")</f>
        <v>This type of stereotyping can be harmful.</v>
      </c>
    </row>
    <row r="1069" spans="1:5" x14ac:dyDescent="0.25">
      <c r="A1069" s="2" t="s">
        <v>3206</v>
      </c>
      <c r="B1069" s="2" t="s">
        <v>3207</v>
      </c>
      <c r="C1069" s="3" t="s">
        <v>3208</v>
      </c>
      <c r="D1069" s="3" t="str">
        <f ca="1">IFERROR(__xludf.DUMMYFUNCTION("GOOGLETRANSLATE(A1069,""fr"",""en"")"),"moiser")</f>
        <v>moiser</v>
      </c>
      <c r="E1069" s="3" t="str">
        <f ca="1">IFERROR(__xludf.DUMMYFUNCTION("GOOGLETRANSLATE(B1069,""fr"",""en"")"),"Hay must be moistened before use.")</f>
        <v>Hay must be moistened before use.</v>
      </c>
    </row>
    <row r="1070" spans="1:5" x14ac:dyDescent="0.25">
      <c r="A1070" s="2" t="s">
        <v>3209</v>
      </c>
      <c r="B1070" s="2" t="s">
        <v>3210</v>
      </c>
      <c r="C1070" s="3" t="s">
        <v>3211</v>
      </c>
      <c r="D1070" s="3" t="str">
        <f ca="1">IFERROR(__xludf.DUMMYFUNCTION("GOOGLETRANSLATE(A1070,""fr"",""en"")"),"inhibit")</f>
        <v>inhibit</v>
      </c>
      <c r="E1070" s="3" t="str">
        <f ca="1">IFERROR(__xludf.DUMMYFUNCTION("GOOGLETRANSLATE(B1070,""fr"",""en"")"),"Stress can inhibit performance.")</f>
        <v>Stress can inhibit performance.</v>
      </c>
    </row>
    <row r="1071" spans="1:5" x14ac:dyDescent="0.25">
      <c r="A1071" s="2" t="s">
        <v>3212</v>
      </c>
      <c r="B1071" s="2" t="s">
        <v>3213</v>
      </c>
      <c r="C1071" s="3" t="s">
        <v>3214</v>
      </c>
      <c r="D1071" s="3" t="str">
        <f ca="1">IFERROR(__xludf.DUMMYFUNCTION("GOOGLETRANSLATE(A1071,""fr"",""en"")"),"ester")</f>
        <v>ester</v>
      </c>
      <c r="E1071" s="3" t="str">
        <f ca="1">IFERROR(__xludf.DUMMYFUNCTION("GOOGLETRANSLATE(B1071,""fr"",""en"")"),"It is important to be clear in this case.")</f>
        <v>It is important to be clear in this case.</v>
      </c>
    </row>
    <row r="1072" spans="1:5" x14ac:dyDescent="0.25">
      <c r="A1072" s="2" t="s">
        <v>3215</v>
      </c>
      <c r="B1072" s="2" t="s">
        <v>3216</v>
      </c>
      <c r="C1072" s="3" t="s">
        <v>3217</v>
      </c>
      <c r="D1072" s="3" t="str">
        <f ca="1">IFERROR(__xludf.DUMMYFUNCTION("GOOGLETRANSLATE(A1072,""fr"",""en"")"),"scanner")</f>
        <v>scanner</v>
      </c>
      <c r="E1072" s="3" t="str">
        <f ca="1">IFERROR(__xludf.DUMMYFUNCTION("GOOGLETRANSLATE(B1072,""fr"",""en"")"),"He must scan the document to send it by email.")</f>
        <v>He must scan the document to send it by email.</v>
      </c>
    </row>
    <row r="1073" spans="1:5" x14ac:dyDescent="0.25">
      <c r="A1073" s="2" t="s">
        <v>3218</v>
      </c>
      <c r="B1073" s="2" t="s">
        <v>3219</v>
      </c>
      <c r="C1073" s="3" t="s">
        <v>3220</v>
      </c>
      <c r="D1073" s="3" t="str">
        <f ca="1">IFERROR(__xludf.DUMMYFUNCTION("GOOGLETRANSLATE(A1073,""fr"",""en"")"),"passenger")</f>
        <v>passenger</v>
      </c>
      <c r="E1073" s="3" t="str">
        <f ca="1">IFERROR(__xludf.DUMMYFUNCTION("GOOGLETRANSLATE(B1073,""fr"",""en"")"),"The passenger falls asleep during the flight.")</f>
        <v>The passenger falls asleep during the flight.</v>
      </c>
    </row>
    <row r="1074" spans="1:5" x14ac:dyDescent="0.25">
      <c r="A1074" s="2" t="s">
        <v>3221</v>
      </c>
      <c r="B1074" s="2" t="s">
        <v>3222</v>
      </c>
      <c r="C1074" s="3" t="s">
        <v>3223</v>
      </c>
      <c r="D1074" s="3" t="str">
        <f ca="1">IFERROR(__xludf.DUMMYFUNCTION("GOOGLETRANSLATE(A1074,""fr"",""en"")"),"to implement")</f>
        <v>to implement</v>
      </c>
      <c r="E1074" s="3" t="str">
        <f ca="1">IFERROR(__xludf.DUMMYFUNCTION("GOOGLETRANSLATE(B1074,""fr"",""en"")"),"They are implementing a new management system.")</f>
        <v>They are implementing a new management system.</v>
      </c>
    </row>
    <row r="1075" spans="1:5" x14ac:dyDescent="0.25">
      <c r="A1075" s="2" t="s">
        <v>3224</v>
      </c>
      <c r="B1075" s="2" t="s">
        <v>3225</v>
      </c>
      <c r="C1075" s="3" t="s">
        <v>3226</v>
      </c>
      <c r="D1075" s="3" t="str">
        <f ca="1">IFERROR(__xludf.DUMMYFUNCTION("GOOGLETRANSLATE(A1075,""fr"",""en"")"),"rid")</f>
        <v>rid</v>
      </c>
      <c r="E1075" s="3" t="str">
        <f ca="1">IFERROR(__xludf.DUMMYFUNCTION("GOOGLETRANSLATE(B1075,""fr"",""en"")"),"The house needs to be cleared of old furniture.")</f>
        <v>The house needs to be cleared of old furniture.</v>
      </c>
    </row>
    <row r="1076" spans="1:5" x14ac:dyDescent="0.25">
      <c r="A1076" s="2" t="s">
        <v>3227</v>
      </c>
      <c r="B1076" s="2" t="s">
        <v>3228</v>
      </c>
      <c r="C1076" s="3" t="s">
        <v>3229</v>
      </c>
      <c r="D1076" s="3" t="str">
        <f ca="1">IFERROR(__xludf.DUMMYFUNCTION("GOOGLETRANSLATE(A1076,""fr"",""en"")"),"to share out")</f>
        <v>to share out</v>
      </c>
      <c r="E1076" s="3" t="str">
        <f ca="1">IFERROR(__xludf.DUMMYFUNCTION("GOOGLETRANSLATE(B1076,""fr"",""en"")"),"They distribute the tasks fairly.")</f>
        <v>They distribute the tasks fairly.</v>
      </c>
    </row>
    <row r="1077" spans="1:5" x14ac:dyDescent="0.25">
      <c r="A1077" s="2" t="s">
        <v>3230</v>
      </c>
      <c r="B1077" s="2" t="s">
        <v>3231</v>
      </c>
      <c r="C1077" s="3" t="s">
        <v>3232</v>
      </c>
      <c r="D1077" s="3" t="str">
        <f ca="1">IFERROR(__xludf.DUMMYFUNCTION("GOOGLETRANSLATE(A1077,""fr"",""en"")"),"broadcast")</f>
        <v>broadcast</v>
      </c>
      <c r="E1077" s="3" t="str">
        <f ca="1">IFERROR(__xludf.DUMMYFUNCTION("GOOGLETRANSLATE(B1077,""fr"",""en"")"),"They broadcast the interview live.")</f>
        <v>They broadcast the interview live.</v>
      </c>
    </row>
    <row r="1078" spans="1:5" x14ac:dyDescent="0.25">
      <c r="A1078" s="2" t="s">
        <v>3233</v>
      </c>
      <c r="B1078" s="2" t="s">
        <v>3234</v>
      </c>
      <c r="C1078" s="3" t="s">
        <v>3235</v>
      </c>
      <c r="D1078" s="3" t="str">
        <f ca="1">IFERROR(__xludf.DUMMYFUNCTION("GOOGLETRANSLATE(A1078,""fr"",""en"")"),"discontinue")</f>
        <v>discontinue</v>
      </c>
      <c r="E1078" s="3" t="str">
        <f ca="1">IFERROR(__xludf.DUMMYFUNCTION("GOOGLETRANSLATE(B1078,""fr"",""en"")"),"The company will discontinue this product next year.")</f>
        <v>The company will discontinue this product next year.</v>
      </c>
    </row>
    <row r="1079" spans="1:5" x14ac:dyDescent="0.25">
      <c r="A1079" s="2" t="s">
        <v>3236</v>
      </c>
      <c r="B1079" s="2" t="s">
        <v>3237</v>
      </c>
      <c r="C1079" s="3" t="s">
        <v>3238</v>
      </c>
      <c r="D1079" s="3" t="str">
        <f ca="1">IFERROR(__xludf.DUMMYFUNCTION("GOOGLETRANSLATE(A1079,""fr"",""en"")"),"rebuild")</f>
        <v>rebuild</v>
      </c>
      <c r="E1079" s="3" t="str">
        <f ca="1">IFERROR(__xludf.DUMMYFUNCTION("GOOGLETRANSLATE(B1079,""fr"",""en"")"),"They rebuild the house after the fire.")</f>
        <v>They rebuild the house after the fire.</v>
      </c>
    </row>
    <row r="1080" spans="1:5" x14ac:dyDescent="0.25">
      <c r="A1080" s="2" t="s">
        <v>3239</v>
      </c>
      <c r="B1080" s="2" t="s">
        <v>3240</v>
      </c>
      <c r="C1080" s="3" t="s">
        <v>3241</v>
      </c>
      <c r="D1080" s="3" t="str">
        <f ca="1">IFERROR(__xludf.DUMMYFUNCTION("GOOGLETRANSLATE(A1080,""fr"",""en"")"),"to thorn")</f>
        <v>to thorn</v>
      </c>
      <c r="E1080" s="3" t="str">
        <f ca="1">IFERROR(__xludf.DUMMYFUNCTION("GOOGLETRANSLATE(B1080,""fr"",""en"")"),"She plucks the flowers to make a bouquet.")</f>
        <v>She plucks the flowers to make a bouquet.</v>
      </c>
    </row>
    <row r="1081" spans="1:5" x14ac:dyDescent="0.25">
      <c r="A1081" s="2" t="s">
        <v>3242</v>
      </c>
      <c r="B1081" s="2" t="s">
        <v>3243</v>
      </c>
      <c r="C1081" s="3" t="s">
        <v>3244</v>
      </c>
      <c r="D1081" s="3" t="str">
        <f ca="1">IFERROR(__xludf.DUMMYFUNCTION("GOOGLETRANSLATE(A1081,""fr"",""en"")"),"inject")</f>
        <v>inject</v>
      </c>
      <c r="E1081" s="3" t="str">
        <f ca="1">IFERROR(__xludf.DUMMYFUNCTION("GOOGLETRANSLATE(B1081,""fr"",""en"")"),"He injects the vaccine into the patient's arm.")</f>
        <v>He injects the vaccine into the patient's arm.</v>
      </c>
    </row>
    <row r="1082" spans="1:5" x14ac:dyDescent="0.25">
      <c r="A1082" s="2" t="s">
        <v>3245</v>
      </c>
      <c r="B1082" s="2" t="s">
        <v>3246</v>
      </c>
      <c r="C1082" s="3" t="s">
        <v>3247</v>
      </c>
      <c r="D1082" s="3" t="str">
        <f ca="1">IFERROR(__xludf.DUMMYFUNCTION("GOOGLETRANSLATE(A1082,""fr"",""en"")"),"palmer")</f>
        <v>palmer</v>
      </c>
      <c r="E1082" s="3" t="str">
        <f ca="1">IFERROR(__xludf.DUMMYFUNCTION("GOOGLETRANSLATE(B1082,""fr"",""en"")"),"They palm the walls to prevent humidity.")</f>
        <v>They palm the walls to prevent humidity.</v>
      </c>
    </row>
    <row r="1083" spans="1:5" x14ac:dyDescent="0.25">
      <c r="A1083" s="2" t="s">
        <v>3248</v>
      </c>
      <c r="B1083" s="2" t="s">
        <v>3249</v>
      </c>
      <c r="C1083" s="3" t="s">
        <v>3250</v>
      </c>
      <c r="D1083" s="3" t="str">
        <f ca="1">IFERROR(__xludf.DUMMYFUNCTION("GOOGLETRANSLATE(A1083,""fr"",""en"")"),"twitter")</f>
        <v>twitter</v>
      </c>
      <c r="E1083" s="3" t="str">
        <f ca="1">IFERROR(__xludf.DUMMYFUNCTION("GOOGLETRANSLATE(B1083,""fr"",""en"")"),"He has a habit of tweeting his political opinions.")</f>
        <v>He has a habit of tweeting his political opinions.</v>
      </c>
    </row>
    <row r="1084" spans="1:5" x14ac:dyDescent="0.25">
      <c r="A1084" s="2" t="s">
        <v>3251</v>
      </c>
      <c r="B1084" s="2" t="s">
        <v>3252</v>
      </c>
      <c r="C1084" s="3" t="s">
        <v>3253</v>
      </c>
      <c r="D1084" s="3" t="str">
        <f ca="1">IFERROR(__xludf.DUMMYFUNCTION("GOOGLETRANSLATE(A1084,""fr"",""en"")"),"cover")</f>
        <v>cover</v>
      </c>
      <c r="E1084" s="3" t="str">
        <f ca="1">IFERROR(__xludf.DUMMYFUNCTION("GOOGLETRANSLATE(B1084,""fr"",""en"")"),"She covers the cake with frosting.")</f>
        <v>She covers the cake with frosting.</v>
      </c>
    </row>
    <row r="1085" spans="1:5" x14ac:dyDescent="0.25">
      <c r="A1085" s="2" t="s">
        <v>3254</v>
      </c>
      <c r="B1085" s="2" t="s">
        <v>3255</v>
      </c>
      <c r="C1085" s="3" t="s">
        <v>3256</v>
      </c>
      <c r="D1085" s="3" t="str">
        <f ca="1">IFERROR(__xludf.DUMMYFUNCTION("GOOGLETRANSLATE(A1085,""fr"",""en"")"),"diaphragm")</f>
        <v>diaphragm</v>
      </c>
      <c r="E1085" s="3" t="str">
        <f ca="1">IFERROR(__xludf.DUMMYFUNCTION("GOOGLETRANSLATE(B1085,""fr"",""en"")"),"You need to set the camera aperture correctly.")</f>
        <v>You need to set the camera aperture correctly.</v>
      </c>
    </row>
    <row r="1086" spans="1:5" x14ac:dyDescent="0.25">
      <c r="A1086" s="2" t="s">
        <v>3257</v>
      </c>
      <c r="B1086" s="2" t="s">
        <v>3258</v>
      </c>
      <c r="C1086" s="3" t="s">
        <v>3259</v>
      </c>
      <c r="D1086" s="3" t="str">
        <f ca="1">IFERROR(__xludf.DUMMYFUNCTION("GOOGLETRANSLATE(A1086,""fr"",""en"")"),"condole")</f>
        <v>condole</v>
      </c>
      <c r="E1086" s="3" t="str">
        <f ca="1">IFERROR(__xludf.DUMMYFUNCTION("GOOGLETRANSLATE(B1086,""fr"",""en"")"),"He condoles the family of the deceased.")</f>
        <v>He condoles the family of the deceased.</v>
      </c>
    </row>
    <row r="1087" spans="1:5" x14ac:dyDescent="0.25">
      <c r="A1087" s="2" t="s">
        <v>3260</v>
      </c>
      <c r="B1087" s="2" t="s">
        <v>3261</v>
      </c>
      <c r="C1087" s="3" t="s">
        <v>3262</v>
      </c>
      <c r="D1087" s="3" t="str">
        <f ca="1">IFERROR(__xludf.DUMMYFUNCTION("GOOGLETRANSLATE(A1087,""fr"",""en"")"),"reverse")</f>
        <v>reverse</v>
      </c>
      <c r="E1087" s="3" t="str">
        <f ca="1">IFERROR(__xludf.DUMMYFUNCTION("GOOGLETRANSLATE(B1087,""fr"",""en"")"),"She reverses the check at the counter.")</f>
        <v>She reverses the check at the counter.</v>
      </c>
    </row>
    <row r="1088" spans="1:5" x14ac:dyDescent="0.25">
      <c r="A1088" s="2" t="s">
        <v>3263</v>
      </c>
      <c r="B1088" s="2" t="s">
        <v>3264</v>
      </c>
      <c r="C1088" s="3" t="s">
        <v>3265</v>
      </c>
      <c r="D1088" s="3" t="str">
        <f ca="1">IFERROR(__xludf.DUMMYFUNCTION("GOOGLETRANSLATE(A1088,""fr"",""en"")"),"bank")</f>
        <v>bank</v>
      </c>
      <c r="E1088" s="3" t="str">
        <f ca="1">IFERROR(__xludf.DUMMYFUNCTION("GOOGLETRANSLATE(B1088,""fr"",""en"")"),"He has been banking at this institution for years.")</f>
        <v>He has been banking at this institution for years.</v>
      </c>
    </row>
    <row r="1089" spans="1:5" x14ac:dyDescent="0.25">
      <c r="A1089" s="2" t="s">
        <v>3266</v>
      </c>
      <c r="B1089" s="2" t="s">
        <v>3267</v>
      </c>
      <c r="C1089" s="3" t="s">
        <v>3268</v>
      </c>
      <c r="D1089" s="3" t="str">
        <f ca="1">IFERROR(__xludf.DUMMYFUNCTION("GOOGLETRANSLATE(A1089,""fr"",""en"")"),"to exude")</f>
        <v>to exude</v>
      </c>
      <c r="E1089" s="3" t="str">
        <f ca="1">IFERROR(__xludf.DUMMYFUNCTION("GOOGLETRANSLATE(B1089,""fr"",""en"")"),"The land must be drained after the flood.")</f>
        <v>The land must be drained after the flood.</v>
      </c>
    </row>
    <row r="1090" spans="1:5" x14ac:dyDescent="0.25">
      <c r="A1090" s="2" t="s">
        <v>3269</v>
      </c>
      <c r="B1090" s="2" t="s">
        <v>3270</v>
      </c>
      <c r="C1090" s="3" t="s">
        <v>3271</v>
      </c>
      <c r="D1090" s="3" t="str">
        <f ca="1">IFERROR(__xludf.DUMMYFUNCTION("GOOGLETRANSLATE(A1090,""fr"",""en"")"),"ruin")</f>
        <v>ruin</v>
      </c>
      <c r="E1090" s="3" t="str">
        <f ca="1">IFERROR(__xludf.DUMMYFUNCTION("GOOGLETRANSLATE(B1090,""fr"",""en"")"),"Streams flow after heavy rains.")</f>
        <v>Streams flow after heavy rains.</v>
      </c>
    </row>
    <row r="1091" spans="1:5" x14ac:dyDescent="0.25">
      <c r="A1091" s="2" t="s">
        <v>3272</v>
      </c>
      <c r="B1091" s="2" t="s">
        <v>3273</v>
      </c>
      <c r="C1091" s="3" t="s">
        <v>3274</v>
      </c>
      <c r="D1091" s="3" t="str">
        <f ca="1">IFERROR(__xludf.DUMMYFUNCTION("GOOGLETRANSLATE(A1091,""fr"",""en"")"),"advocacy")</f>
        <v>advocacy</v>
      </c>
      <c r="E1091" s="3" t="str">
        <f ca="1">IFERROR(__xludf.DUMMYFUNCTION("GOOGLETRANSLATE(B1091,""fr"",""en"")"),"There is a need to advocate for policy reform.")</f>
        <v>There is a need to advocate for policy reform.</v>
      </c>
    </row>
    <row r="1092" spans="1:5" x14ac:dyDescent="0.25">
      <c r="A1092" s="2" t="s">
        <v>3275</v>
      </c>
      <c r="B1092" s="2" t="s">
        <v>3276</v>
      </c>
      <c r="C1092" s="3" t="s">
        <v>3277</v>
      </c>
      <c r="D1092" s="3" t="str">
        <f ca="1">IFERROR(__xludf.DUMMYFUNCTION("GOOGLETRANSLATE(A1092,""fr"",""en"")"),"Fraser")</f>
        <v>Fraser</v>
      </c>
      <c r="E1092" s="3" t="str">
        <f ca="1">IFERROR(__xludf.DUMMYFUNCTION("GOOGLETRANSLATE(B1092,""fr"",""en"")"),"They grind the surface to make it flat.")</f>
        <v>They grind the surface to make it flat.</v>
      </c>
    </row>
    <row r="1093" spans="1:5" x14ac:dyDescent="0.25">
      <c r="A1093" s="2" t="s">
        <v>3278</v>
      </c>
      <c r="B1093" s="2" t="s">
        <v>3279</v>
      </c>
      <c r="C1093" s="3" t="s">
        <v>3280</v>
      </c>
      <c r="D1093" s="3" t="str">
        <f ca="1">IFERROR(__xludf.DUMMYFUNCTION("GOOGLETRANSLATE(A1093,""fr"",""en"")"),"start again")</f>
        <v>start again</v>
      </c>
      <c r="E1093" s="3" t="str">
        <f ca="1">IFERROR(__xludf.DUMMYFUNCTION("GOOGLETRANSLATE(B1093,""fr"",""en"")"),"They start the project from the beginning.")</f>
        <v>They start the project from the beginning.</v>
      </c>
    </row>
    <row r="1094" spans="1:5" x14ac:dyDescent="0.25">
      <c r="A1094" s="2" t="s">
        <v>3281</v>
      </c>
      <c r="B1094" s="2" t="s">
        <v>3282</v>
      </c>
      <c r="C1094" s="3" t="s">
        <v>3283</v>
      </c>
      <c r="D1094" s="3" t="str">
        <f ca="1">IFERROR(__xludf.DUMMYFUNCTION("GOOGLETRANSLATE(A1094,""fr"",""en"")"),"petition")</f>
        <v>petition</v>
      </c>
      <c r="E1094" s="3" t="str">
        <f ca="1">IFERROR(__xludf.DUMMYFUNCTION("GOOGLETRANSLATE(B1094,""fr"",""en"")"),"They are petitioning against the construction of the highway.")</f>
        <v>They are petitioning against the construction of the highway.</v>
      </c>
    </row>
    <row r="1095" spans="1:5" x14ac:dyDescent="0.25">
      <c r="A1095" s="2" t="s">
        <v>3284</v>
      </c>
      <c r="B1095" s="2" t="s">
        <v>3285</v>
      </c>
      <c r="C1095" s="3" t="s">
        <v>3286</v>
      </c>
      <c r="D1095" s="3" t="str">
        <f ca="1">IFERROR(__xludf.DUMMYFUNCTION("GOOGLETRANSLATE(A1095,""fr"",""en"")"),"to break")</f>
        <v>to break</v>
      </c>
      <c r="E1095" s="3" t="str">
        <f ca="1">IFERROR(__xludf.DUMMYFUNCTION("GOOGLETRANSLATE(B1095,""fr"",""en"")"),"This fragile object must not be broken.")</f>
        <v>This fragile object must not be broken.</v>
      </c>
    </row>
    <row r="1096" spans="1:5" x14ac:dyDescent="0.25">
      <c r="A1096" s="2" t="s">
        <v>3287</v>
      </c>
      <c r="B1096" s="2" t="s">
        <v>3288</v>
      </c>
      <c r="C1096" s="3" t="s">
        <v>3289</v>
      </c>
      <c r="D1096" s="3" t="str">
        <f ca="1">IFERROR(__xludf.DUMMYFUNCTION("GOOGLETRANSLATE(A1096,""fr"",""en"")"),"to invent")</f>
        <v>to invent</v>
      </c>
      <c r="E1096" s="3" t="str">
        <f ca="1">IFERROR(__xludf.DUMMYFUNCTION("GOOGLETRANSLATE(B1096,""fr"",""en"")"),"He likes to make up incredible stories.")</f>
        <v>He likes to make up incredible stories.</v>
      </c>
    </row>
    <row r="1097" spans="1:5" x14ac:dyDescent="0.25">
      <c r="A1097" s="2" t="s">
        <v>3290</v>
      </c>
      <c r="B1097" s="2" t="s">
        <v>3291</v>
      </c>
      <c r="C1097" s="3" t="s">
        <v>3292</v>
      </c>
      <c r="D1097" s="3" t="str">
        <f ca="1">IFERROR(__xludf.DUMMYFUNCTION("GOOGLETRANSLATE(A1097,""fr"",""en"")"),"historian")</f>
        <v>historian</v>
      </c>
      <c r="E1097" s="3" t="str">
        <f ca="1">IFERROR(__xludf.DUMMYFUNCTION("GOOGLETRANSLATE(B1097,""fr"",""en"")"),"He chronicles events with precision.")</f>
        <v>He chronicles events with precision.</v>
      </c>
    </row>
    <row r="1098" spans="1:5" x14ac:dyDescent="0.25">
      <c r="A1098" s="2" t="s">
        <v>3293</v>
      </c>
      <c r="B1098" s="2" t="s">
        <v>3294</v>
      </c>
      <c r="C1098" s="3" t="s">
        <v>3295</v>
      </c>
      <c r="D1098" s="3" t="str">
        <f ca="1">IFERROR(__xludf.DUMMYFUNCTION("GOOGLETRANSLATE(A1098,""fr"",""en"")"),"harper")</f>
        <v>harper</v>
      </c>
      <c r="E1098" s="3" t="str">
        <f ca="1">IFERROR(__xludf.DUMMYFUNCTION("GOOGLETRANSLATE(B1098,""fr"",""en"")"),"He's been playing the same string for hours.")</f>
        <v>He's been playing the same string for hours.</v>
      </c>
    </row>
    <row r="1099" spans="1:5" x14ac:dyDescent="0.25">
      <c r="A1099" s="2" t="s">
        <v>3296</v>
      </c>
      <c r="B1099" s="2" t="s">
        <v>3297</v>
      </c>
      <c r="C1099" s="3" t="s">
        <v>3298</v>
      </c>
      <c r="D1099" s="3" t="str">
        <f ca="1">IFERROR(__xludf.DUMMYFUNCTION("GOOGLETRANSLATE(A1099,""fr"",""en"")"),"to deprive")</f>
        <v>to deprive</v>
      </c>
      <c r="E1099" s="3" t="str">
        <f ca="1">IFERROR(__xludf.DUMMYFUNCTION("GOOGLETRANSLATE(B1099,""fr"",""en"")"),"Poverty has deprived them of their possessions.")</f>
        <v>Poverty has deprived them of their possessions.</v>
      </c>
    </row>
    <row r="1100" spans="1:5" x14ac:dyDescent="0.25">
      <c r="A1100" s="2" t="s">
        <v>3299</v>
      </c>
      <c r="B1100" s="2" t="s">
        <v>3300</v>
      </c>
      <c r="C1100" s="3" t="s">
        <v>3301</v>
      </c>
      <c r="D1100" s="3" t="str">
        <f ca="1">IFERROR(__xludf.DUMMYFUNCTION("GOOGLETRANSLATE(A1100,""fr"",""en"")"),"enter")</f>
        <v>enter</v>
      </c>
      <c r="E1100" s="3" t="str">
        <f ca="1">IFERROR(__xludf.DUMMYFUNCTION("GOOGLETRANSLATE(B1100,""fr"",""en"")"),"He managed to penetrate the computer system.")</f>
        <v>He managed to penetrate the computer system.</v>
      </c>
    </row>
    <row r="1101" spans="1:5" x14ac:dyDescent="0.25">
      <c r="A1101" s="2" t="s">
        <v>3302</v>
      </c>
      <c r="B1101" s="2" t="s">
        <v>3303</v>
      </c>
      <c r="C1101" s="3" t="s">
        <v>3304</v>
      </c>
      <c r="D1101" s="3" t="str">
        <f ca="1">IFERROR(__xludf.DUMMYFUNCTION("GOOGLETRANSLATE(A1101,""fr"",""en"")"),"to dismay")</f>
        <v>to dismay</v>
      </c>
      <c r="E1101" s="3" t="str">
        <f ca="1">IFERROR(__xludf.DUMMYFUNCTION("GOOGLETRANSLATE(B1101,""fr"",""en"")"),"It appears that the documents are complete.")</f>
        <v>It appears that the documents are complete.</v>
      </c>
    </row>
    <row r="1102" spans="1:5" x14ac:dyDescent="0.25">
      <c r="A1102" s="2" t="s">
        <v>3305</v>
      </c>
      <c r="B1102" s="2" t="s">
        <v>3306</v>
      </c>
      <c r="C1102" s="3" t="s">
        <v>3307</v>
      </c>
      <c r="D1102" s="3" t="str">
        <f ca="1">IFERROR(__xludf.DUMMYFUNCTION("GOOGLETRANSLATE(A1102,""fr"",""en"")"),"inspect")</f>
        <v>inspect</v>
      </c>
      <c r="E1102" s="3" t="str">
        <f ca="1">IFERROR(__xludf.DUMMYFUNCTION("GOOGLETRANSLATE(B1102,""fr"",""en"")"),"She carefully inspects each piece.")</f>
        <v>She carefully inspects each piece.</v>
      </c>
    </row>
    <row r="1103" spans="1:5" x14ac:dyDescent="0.25">
      <c r="A1103" s="2" t="s">
        <v>3308</v>
      </c>
      <c r="B1103" s="2" t="s">
        <v>3309</v>
      </c>
      <c r="C1103" s="3" t="s">
        <v>3310</v>
      </c>
      <c r="D1103" s="3" t="str">
        <f ca="1">IFERROR(__xludf.DUMMYFUNCTION("GOOGLETRANSLATE(A1103,""fr"",""en"")"),"to close")</f>
        <v>to close</v>
      </c>
      <c r="E1103" s="3" t="str">
        <f ca="1">IFERROR(__xludf.DUMMYFUNCTION("GOOGLETRANSLATE(B1103,""fr"",""en"")"),"They saddle the horse for competition.")</f>
        <v>They saddle the horse for competition.</v>
      </c>
    </row>
    <row r="1104" spans="1:5" x14ac:dyDescent="0.25">
      <c r="A1104" s="2" t="s">
        <v>3311</v>
      </c>
      <c r="B1104" s="2" t="s">
        <v>3312</v>
      </c>
      <c r="C1104" s="3" t="s">
        <v>3313</v>
      </c>
      <c r="D1104" s="3" t="str">
        <f ca="1">IFERROR(__xludf.DUMMYFUNCTION("GOOGLETRANSLATE(A1104,""fr"",""en"")"),"originate")</f>
        <v>originate</v>
      </c>
      <c r="E1104" s="3" t="str">
        <f ca="1">IFERROR(__xludf.DUMMYFUNCTION("GOOGLETRANSLATE(B1104,""fr"",""en"")"),"This problem stems from poor management.")</f>
        <v>This problem stems from poor management.</v>
      </c>
    </row>
    <row r="1105" spans="1:5" x14ac:dyDescent="0.25">
      <c r="A1105" s="2" t="s">
        <v>3314</v>
      </c>
      <c r="B1105" s="2" t="s">
        <v>3315</v>
      </c>
      <c r="C1105" s="3" t="s">
        <v>3316</v>
      </c>
      <c r="D1105" s="3" t="str">
        <f ca="1">IFERROR(__xludf.DUMMYFUNCTION("GOOGLETRANSLATE(A1105,""fr"",""en"")"),"to establish")</f>
        <v>to establish</v>
      </c>
      <c r="E1105" s="3" t="str">
        <f ca="1">IFERROR(__xludf.DUMMYFUNCTION("GOOGLETRANSLATE(B1105,""fr"",""en"")"),"They are introducing new rules to improve safety.")</f>
        <v>They are introducing new rules to improve safety.</v>
      </c>
    </row>
    <row r="1106" spans="1:5" x14ac:dyDescent="0.25">
      <c r="A1106" s="2" t="s">
        <v>3317</v>
      </c>
      <c r="B1106" s="2" t="s">
        <v>3318</v>
      </c>
      <c r="C1106" s="3" t="s">
        <v>3319</v>
      </c>
      <c r="D1106" s="3" t="str">
        <f ca="1">IFERROR(__xludf.DUMMYFUNCTION("GOOGLETRANSLATE(A1106,""fr"",""en"")"),"poach")</f>
        <v>poach</v>
      </c>
      <c r="E1106" s="3" t="str">
        <f ca="1">IFERROR(__xludf.DUMMYFUNCTION("GOOGLETRANSLATE(B1106,""fr"",""en"")"),"She poaches the fruit to make a compote.")</f>
        <v>She poaches the fruit to make a compote.</v>
      </c>
    </row>
    <row r="1107" spans="1:5" x14ac:dyDescent="0.25">
      <c r="A1107" s="2" t="s">
        <v>3320</v>
      </c>
      <c r="B1107" s="2" t="s">
        <v>3321</v>
      </c>
      <c r="C1107" s="3" t="s">
        <v>3322</v>
      </c>
      <c r="D1107" s="3" t="str">
        <f ca="1">IFERROR(__xludf.DUMMYFUNCTION("GOOGLETRANSLATE(A1107,""fr"",""en"")"),"to sterilize")</f>
        <v>to sterilize</v>
      </c>
      <c r="E1107" s="3" t="str">
        <f ca="1">IFERROR(__xludf.DUMMYFUNCTION("GOOGLETRANSLATE(B1107,""fr"",""en"")"),"He stores the wood for the winter.")</f>
        <v>He stores the wood for the winter.</v>
      </c>
    </row>
    <row r="1108" spans="1:5" x14ac:dyDescent="0.25">
      <c r="A1108" s="2" t="s">
        <v>3323</v>
      </c>
      <c r="B1108" s="2" t="s">
        <v>3324</v>
      </c>
      <c r="C1108" s="3" t="s">
        <v>3325</v>
      </c>
      <c r="D1108" s="3" t="str">
        <f ca="1">IFERROR(__xludf.DUMMYFUNCTION("GOOGLETRANSLATE(A1108,""fr"",""en"")"),"push back")</f>
        <v>push back</v>
      </c>
      <c r="E1108" s="3" t="str">
        <f ca="1">IFERROR(__xludf.DUMMYFUNCTION("GOOGLETRANSLATE(B1108,""fr"",""en"")"),"They postpone the meeting date.")</f>
        <v>They postpone the meeting date.</v>
      </c>
    </row>
    <row r="1109" spans="1:5" x14ac:dyDescent="0.25">
      <c r="A1109" s="2" t="s">
        <v>3326</v>
      </c>
      <c r="B1109" s="2" t="s">
        <v>3327</v>
      </c>
      <c r="C1109" s="3" t="s">
        <v>3328</v>
      </c>
      <c r="D1109" s="3" t="str">
        <f ca="1">IFERROR(__xludf.DUMMYFUNCTION("GOOGLETRANSLATE(A1109,""fr"",""en"")"),"spacer")</f>
        <v>spacer</v>
      </c>
      <c r="E1109" s="3" t="str">
        <f ca="1">IFERROR(__xludf.DUMMYFUNCTION("GOOGLETRANSLATE(B1109,""fr"",""en"")"),"It braces the structure to solidify it.")</f>
        <v>It braces the structure to solidify it.</v>
      </c>
    </row>
    <row r="1110" spans="1:5" x14ac:dyDescent="0.25">
      <c r="A1110" s="2" t="s">
        <v>3329</v>
      </c>
      <c r="B1110" s="2" t="s">
        <v>3330</v>
      </c>
      <c r="C1110" s="3" t="s">
        <v>3331</v>
      </c>
      <c r="D1110" s="3" t="str">
        <f ca="1">IFERROR(__xludf.DUMMYFUNCTION("GOOGLETRANSLATE(A1110,""fr"",""en"")"),"rotate")</f>
        <v>rotate</v>
      </c>
      <c r="E1110" s="3" t="str">
        <f ca="1">IFERROR(__xludf.DUMMYFUNCTION("GOOGLETRANSLATE(B1110,""fr"",""en"")"),"The table can be rotated to be viewed from all angles.")</f>
        <v>The table can be rotated to be viewed from all angles.</v>
      </c>
    </row>
    <row r="1111" spans="1:5" x14ac:dyDescent="0.25">
      <c r="A1111" s="2" t="s">
        <v>3332</v>
      </c>
      <c r="B1111" s="2" t="s">
        <v>3333</v>
      </c>
      <c r="C1111" s="3" t="s">
        <v>3334</v>
      </c>
      <c r="D1111" s="3" t="str">
        <f ca="1">IFERROR(__xludf.DUMMYFUNCTION("GOOGLETRANSLATE(A1111,""fr"",""en"")"),"over-go")</f>
        <v>over-go</v>
      </c>
      <c r="E1111" s="3" t="str">
        <f ca="1">IFERROR(__xludf.DUMMYFUNCTION("GOOGLETRANSLATE(B1111,""fr"",""en"")"),"See how to provide respect with respect to our concrete ambitions.")</f>
        <v>See how to provide respect with respect to our concrete ambitions.</v>
      </c>
    </row>
    <row r="1112" spans="1:5" x14ac:dyDescent="0.25">
      <c r="A1112" s="2" t="s">
        <v>3335</v>
      </c>
      <c r="B1112" s="2" t="s">
        <v>3336</v>
      </c>
      <c r="C1112" s="3" t="s">
        <v>3337</v>
      </c>
      <c r="D1112" s="3" t="str">
        <f ca="1">IFERROR(__xludf.DUMMYFUNCTION("GOOGLETRANSLATE(A1112,""fr"",""en"")"),"federalize")</f>
        <v>federalize</v>
      </c>
      <c r="E1112" s="3" t="str">
        <f ca="1">IFERROR(__xludf.DUMMYFUNCTION("GOOGLETRANSLATE(B1112,""fr"",""en"")"),"They federalize laws for uniform application.")</f>
        <v>They federalize laws for uniform application.</v>
      </c>
    </row>
    <row r="1113" spans="1:5" x14ac:dyDescent="0.25">
      <c r="A1113" s="2" t="s">
        <v>3338</v>
      </c>
      <c r="B1113" s="2" t="s">
        <v>3339</v>
      </c>
      <c r="C1113" s="3" t="s">
        <v>3340</v>
      </c>
      <c r="D1113" s="3" t="str">
        <f ca="1">IFERROR(__xludf.DUMMYFUNCTION("GOOGLETRANSLATE(A1113,""fr"",""en"")"),"modulate")</f>
        <v>modulate</v>
      </c>
      <c r="E1113" s="3" t="str">
        <f ca="1">IFERROR(__xludf.DUMMYFUNCTION("GOOGLETRANSLATE(B1113,""fr"",""en"")"),"She modulates her voice for the theater.")</f>
        <v>She modulates her voice for the theater.</v>
      </c>
    </row>
    <row r="1114" spans="1:5" x14ac:dyDescent="0.25">
      <c r="A1114" s="2" t="s">
        <v>3341</v>
      </c>
      <c r="B1114" s="2" t="s">
        <v>3342</v>
      </c>
      <c r="C1114" s="3" t="s">
        <v>3343</v>
      </c>
      <c r="D1114" s="3" t="str">
        <f ca="1">IFERROR(__xludf.DUMMYFUNCTION("GOOGLETRANSLATE(A1114,""fr"",""en"")"),"dinner")</f>
        <v>dinner</v>
      </c>
      <c r="E1114" s="3" t="str">
        <f ca="1">IFERROR(__xludf.DUMMYFUNCTION("GOOGLETRANSLATE(B1114,""fr"",""en"")"),"They have dinner together as a family every night.")</f>
        <v>They have dinner together as a family every night.</v>
      </c>
    </row>
    <row r="1115" spans="1:5" x14ac:dyDescent="0.25">
      <c r="A1115" s="2" t="s">
        <v>3344</v>
      </c>
      <c r="B1115" s="2" t="s">
        <v>3345</v>
      </c>
      <c r="C1115" s="3" t="s">
        <v>3346</v>
      </c>
      <c r="D1115" s="3" t="str">
        <f ca="1">IFERROR(__xludf.DUMMYFUNCTION("GOOGLETRANSLATE(A1115,""fr"",""en"")"),"program")</f>
        <v>program</v>
      </c>
      <c r="E1115" s="3" t="str">
        <f ca="1">IFERROR(__xludf.DUMMYFUNCTION("GOOGLETRANSLATE(B1115,""fr"",""en"")"),"He programs a new algorithm.")</f>
        <v>He programs a new algorithm.</v>
      </c>
    </row>
    <row r="1116" spans="1:5" x14ac:dyDescent="0.25">
      <c r="A1116" s="2" t="s">
        <v>3347</v>
      </c>
      <c r="B1116" s="2" t="s">
        <v>3348</v>
      </c>
      <c r="C1116" s="3" t="s">
        <v>3349</v>
      </c>
      <c r="D1116" s="3" t="str">
        <f ca="1">IFERROR(__xludf.DUMMYFUNCTION("GOOGLETRANSLATE(A1116,""fr"",""en"")"),"vein")</f>
        <v>vein</v>
      </c>
      <c r="E1116" s="3" t="str">
        <f ca="1">IFERROR(__xludf.DUMMYFUNCTION("GOOGLETRANSLATE(B1116,""fr"",""en"")"),"She veins the marble to reveal its beauty.")</f>
        <v>She veins the marble to reveal its beauty.</v>
      </c>
    </row>
    <row r="1117" spans="1:5" x14ac:dyDescent="0.25">
      <c r="A1117" s="2" t="s">
        <v>3350</v>
      </c>
      <c r="B1117" s="2" t="s">
        <v>3351</v>
      </c>
      <c r="C1117" s="3" t="s">
        <v>3352</v>
      </c>
      <c r="D1117" s="3" t="str">
        <f ca="1">IFERROR(__xludf.DUMMYFUNCTION("GOOGLETRANSLATE(A1117,""fr"",""en"")"),"machine")</f>
        <v>machine</v>
      </c>
      <c r="E1117" s="3" t="str">
        <f ca="1">IFERROR(__xludf.DUMMYFUNCTION("GOOGLETRANSLATE(B1117,""fr"",""en"")"),"They machine mechanical parts.")</f>
        <v>They machine mechanical parts.</v>
      </c>
    </row>
    <row r="1118" spans="1:5" x14ac:dyDescent="0.25">
      <c r="A1118" s="2" t="s">
        <v>3353</v>
      </c>
      <c r="B1118" s="2" t="s">
        <v>3354</v>
      </c>
      <c r="C1118" s="3" t="s">
        <v>3355</v>
      </c>
      <c r="D1118" s="3" t="str">
        <f ca="1">IFERROR(__xludf.DUMMYFUNCTION("GOOGLETRANSLATE(A1118,""fr"",""en"")"),"opt")</f>
        <v>opt</v>
      </c>
      <c r="E1118" s="3" t="str">
        <f ca="1">IFERROR(__xludf.DUMMYFUNCTION("GOOGLETRANSLATE(B1118,""fr"",""en"")"),"He opts for the most economical solution.")</f>
        <v>He opts for the most economical solution.</v>
      </c>
    </row>
    <row r="1119" spans="1:5" x14ac:dyDescent="0.25">
      <c r="A1119" s="2" t="s">
        <v>3356</v>
      </c>
      <c r="B1119" s="2" t="s">
        <v>3357</v>
      </c>
      <c r="C1119" s="3" t="s">
        <v>3358</v>
      </c>
      <c r="D1119" s="3" t="str">
        <f ca="1">IFERROR(__xludf.DUMMYFUNCTION("GOOGLETRANSLATE(A1119,""fr"",""en"")"),"to bend")</f>
        <v>to bend</v>
      </c>
      <c r="E1119" s="3" t="str">
        <f ca="1">IFERROR(__xludf.DUMMYFUNCTION("GOOGLETRANSLATE(B1119,""fr"",""en"")"),"She bends the pipe to install it.")</f>
        <v>She bends the pipe to install it.</v>
      </c>
    </row>
    <row r="1120" spans="1:5" x14ac:dyDescent="0.25">
      <c r="A1120" s="2" t="s">
        <v>3359</v>
      </c>
      <c r="B1120" s="2" t="s">
        <v>3360</v>
      </c>
      <c r="C1120" s="3" t="s">
        <v>3361</v>
      </c>
      <c r="D1120" s="3" t="str">
        <f ca="1">IFERROR(__xludf.DUMMYFUNCTION("GOOGLETRANSLATE(A1120,""fr"",""en"")"),"antiparasitic")</f>
        <v>antiparasitic</v>
      </c>
      <c r="E1120" s="3" t="str">
        <f ca="1">IFERROR(__xludf.DUMMYFUNCTION("GOOGLETRANSLATE(B1120,""fr"",""en"")"),"He regularly cleans his computer.")</f>
        <v>He regularly cleans his computer.</v>
      </c>
    </row>
    <row r="1121" spans="1:5" x14ac:dyDescent="0.25">
      <c r="A1121" s="2" t="s">
        <v>3362</v>
      </c>
      <c r="B1121" s="2" t="s">
        <v>3363</v>
      </c>
      <c r="C1121" s="3" t="s">
        <v>3364</v>
      </c>
      <c r="D1121" s="3" t="str">
        <f ca="1">IFERROR(__xludf.DUMMYFUNCTION("GOOGLETRANSLATE(A1121,""fr"",""en"")"),"designer")</f>
        <v>designer</v>
      </c>
      <c r="E1121" s="3" t="str">
        <f ca="1">IFERROR(__xludf.DUMMYFUNCTION("GOOGLETRANSLATE(B1121,""fr"",""en"")"),"They design a new logo for the company.")</f>
        <v>They design a new logo for the company.</v>
      </c>
    </row>
    <row r="1122" spans="1:5" x14ac:dyDescent="0.25">
      <c r="A1122" s="2" t="s">
        <v>3365</v>
      </c>
      <c r="B1122" s="2" t="s">
        <v>3366</v>
      </c>
      <c r="C1122" s="3" t="s">
        <v>3367</v>
      </c>
      <c r="D1122" s="3" t="str">
        <f ca="1">IFERROR(__xludf.DUMMYFUNCTION("GOOGLETRANSLATE(A1122,""fr"",""en"")"),"post")</f>
        <v>post</v>
      </c>
      <c r="E1122" s="3" t="str">
        <f ca="1">IFERROR(__xludf.DUMMYFUNCTION("GOOGLETRANSLATE(B1122,""fr"",""en"")"),"She mails an important letter.")</f>
        <v>She mails an important letter.</v>
      </c>
    </row>
    <row r="1123" spans="1:5" x14ac:dyDescent="0.25">
      <c r="A1123" s="2" t="s">
        <v>3368</v>
      </c>
      <c r="B1123" s="2" t="s">
        <v>3369</v>
      </c>
      <c r="C1123" s="3" t="s">
        <v>3370</v>
      </c>
      <c r="D1123" s="3" t="str">
        <f ca="1">IFERROR(__xludf.DUMMYFUNCTION("GOOGLETRANSLATE(A1123,""fr"",""en"")"),"to share out")</f>
        <v>to share out</v>
      </c>
      <c r="E1123" s="3" t="str">
        <f ca="1">IFERROR(__xludf.DUMMYFUNCTION("GOOGLETRANSLATE(B1123,""fr"",""en"")"),"They go on vacation every year.")</f>
        <v>They go on vacation every year.</v>
      </c>
    </row>
    <row r="1124" spans="1:5" x14ac:dyDescent="0.25">
      <c r="A1124" s="2" t="s">
        <v>3371</v>
      </c>
      <c r="B1124" s="2" t="s">
        <v>3372</v>
      </c>
      <c r="C1124" s="3" t="s">
        <v>3373</v>
      </c>
      <c r="D1124" s="3" t="str">
        <f ca="1">IFERROR(__xludf.DUMMYFUNCTION("GOOGLETRANSLATE(A1124,""fr"",""en"")"),"to cousin")</f>
        <v>to cousin</v>
      </c>
      <c r="E1124" s="3" t="str">
        <f ca="1">IFERROR(__xludf.DUMMYFUNCTION("GOOGLETRANSLATE(B1124,""fr"",""en"")"),"She cooks a delicious French dish.")</f>
        <v>She cooks a delicious French dish.</v>
      </c>
    </row>
    <row r="1125" spans="1:5" x14ac:dyDescent="0.25">
      <c r="A1125" s="2" t="s">
        <v>3374</v>
      </c>
      <c r="B1125" s="2" t="s">
        <v>3375</v>
      </c>
      <c r="C1125" s="3" t="s">
        <v>3376</v>
      </c>
      <c r="D1125" s="3" t="str">
        <f ca="1">IFERROR(__xludf.DUMMYFUNCTION("GOOGLETRANSLATE(A1125,""fr"",""en"")"),"soften")</f>
        <v>soften</v>
      </c>
      <c r="E1125" s="3" t="str">
        <f ca="1">IFERROR(__xludf.DUMMYFUNCTION("GOOGLETRANSLATE(B1125,""fr"",""en"")"),"The butter softens at room temperature.")</f>
        <v>The butter softens at room temperature.</v>
      </c>
    </row>
    <row r="1126" spans="1:5" x14ac:dyDescent="0.25">
      <c r="A1126" s="2" t="s">
        <v>3377</v>
      </c>
      <c r="B1126" s="2" t="s">
        <v>3378</v>
      </c>
      <c r="C1126" s="3" t="s">
        <v>3379</v>
      </c>
      <c r="D1126" s="3" t="str">
        <f ca="1">IFERROR(__xludf.DUMMYFUNCTION("GOOGLETRANSLATE(A1126,""fr"",""en"")"),"to polish")</f>
        <v>to polish</v>
      </c>
      <c r="E1126" s="3" t="str">
        <f ca="1">IFERROR(__xludf.DUMMYFUNCTION("GOOGLETRANSLATE(B1126,""fr"",""en"")"),"He polishes the shoes to make them shine.")</f>
        <v>He polishes the shoes to make them shine.</v>
      </c>
    </row>
    <row r="1127" spans="1:5" x14ac:dyDescent="0.25">
      <c r="A1127" s="2" t="s">
        <v>3380</v>
      </c>
      <c r="B1127" s="2" t="s">
        <v>3381</v>
      </c>
      <c r="C1127" s="3" t="s">
        <v>3382</v>
      </c>
      <c r="D1127" s="3" t="str">
        <f ca="1">IFERROR(__xludf.DUMMYFUNCTION("GOOGLETRANSLATE(A1127,""fr"",""en"")"),"reconsolidate")</f>
        <v>reconsolidate</v>
      </c>
      <c r="E1127" s="3" t="str">
        <f ca="1">IFERROR(__xludf.DUMMYFUNCTION("GOOGLETRANSLATE(B1127,""fr"",""en"")"),"They are reinforcing the wall after the earthquakes.")</f>
        <v>They are reinforcing the wall after the earthquakes.</v>
      </c>
    </row>
    <row r="1128" spans="1:5" x14ac:dyDescent="0.25">
      <c r="A1128" s="2" t="s">
        <v>3383</v>
      </c>
      <c r="B1128" s="2" t="s">
        <v>3384</v>
      </c>
      <c r="C1128" s="3" t="s">
        <v>3385</v>
      </c>
      <c r="D1128" s="3" t="str">
        <f ca="1">IFERROR(__xludf.DUMMYFUNCTION("GOOGLETRANSLATE(A1128,""fr"",""en"")"),"require")</f>
        <v>require</v>
      </c>
      <c r="E1128" s="3" t="str">
        <f ca="1">IFERROR(__xludf.DUMMYFUNCTION("GOOGLETRANSLATE(B1128,""fr"",""en"")"),"This project requires a lot of labor.")</f>
        <v>This project requires a lot of labor.</v>
      </c>
    </row>
    <row r="1129" spans="1:5" x14ac:dyDescent="0.25">
      <c r="A1129" s="2" t="s">
        <v>3386</v>
      </c>
      <c r="B1129" s="2" t="s">
        <v>3387</v>
      </c>
      <c r="C1129" s="3" t="s">
        <v>3388</v>
      </c>
      <c r="D1129" s="3" t="str">
        <f ca="1">IFERROR(__xludf.DUMMYFUNCTION("GOOGLETRANSLATE(A1129,""fr"",""en"")"),"to sophisticate")</f>
        <v>to sophisticate</v>
      </c>
      <c r="E1129" s="3" t="str">
        <f ca="1">IFERROR(__xludf.DUMMYFUNCTION("GOOGLETRANSLATE(B1129,""fr"",""en"")"),"She sophisticates her arguments to convince.")</f>
        <v>She sophisticates her arguments to convince.</v>
      </c>
    </row>
    <row r="1130" spans="1:5" x14ac:dyDescent="0.25">
      <c r="A1130" s="2" t="s">
        <v>3389</v>
      </c>
      <c r="B1130" s="2" t="s">
        <v>3390</v>
      </c>
      <c r="C1130" s="3" t="s">
        <v>3391</v>
      </c>
      <c r="D1130" s="3" t="str">
        <f ca="1">IFERROR(__xludf.DUMMYFUNCTION("GOOGLETRANSLATE(A1130,""fr"",""en"")"),"shape")</f>
        <v>shape</v>
      </c>
      <c r="E1130" s="3" t="str">
        <f ca="1">IFERROR(__xludf.DUMMYFUNCTION("GOOGLETRANSLATE(B1130,""fr"",""en"")"),"They shape the clay into pots.")</f>
        <v>They shape the clay into pots.</v>
      </c>
    </row>
    <row r="1131" spans="1:5" x14ac:dyDescent="0.25">
      <c r="A1131" s="2" t="s">
        <v>3392</v>
      </c>
      <c r="B1131" s="2" t="s">
        <v>3393</v>
      </c>
      <c r="C1131" s="3" t="s">
        <v>3394</v>
      </c>
      <c r="D1131" s="3" t="str">
        <f ca="1">IFERROR(__xludf.DUMMYFUNCTION("GOOGLETRANSLATE(A1131,""fr"",""en"")"),"to bitumen")</f>
        <v>to bitumen</v>
      </c>
      <c r="E1131" s="3" t="str">
        <f ca="1">IFERROR(__xludf.DUMMYFUNCTION("GOOGLETRANSLATE(B1131,""fr"",""en"")"),"He tarmacks the road to make it more resistant.")</f>
        <v>He tarmacks the road to make it more resistant.</v>
      </c>
    </row>
    <row r="1132" spans="1:5" x14ac:dyDescent="0.25">
      <c r="A1132" s="2" t="s">
        <v>3395</v>
      </c>
      <c r="B1132" s="2" t="s">
        <v>3396</v>
      </c>
      <c r="C1132" s="3" t="s">
        <v>3397</v>
      </c>
      <c r="D1132" s="3" t="str">
        <f ca="1">IFERROR(__xludf.DUMMYFUNCTION("GOOGLETRANSLATE(A1132,""fr"",""en"")"),"capture")</f>
        <v>capture</v>
      </c>
      <c r="E1132" s="3" t="str">
        <f ca="1">IFERROR(__xludf.DUMMYFUNCTION("GOOGLETRANSLATE(B1132,""fr"",""en"")"),"They pick up radio waves.")</f>
        <v>They pick up radio waves.</v>
      </c>
    </row>
    <row r="1133" spans="1:5" x14ac:dyDescent="0.25">
      <c r="A1133" s="2" t="s">
        <v>3398</v>
      </c>
      <c r="B1133" s="2" t="s">
        <v>3399</v>
      </c>
      <c r="C1133" s="3" t="s">
        <v>3400</v>
      </c>
      <c r="D1133" s="3" t="str">
        <f ca="1">IFERROR(__xludf.DUMMYFUNCTION("GOOGLETRANSLATE(A1133,""fr"",""en"")"),"to embouchure")</f>
        <v>to embouchure</v>
      </c>
      <c r="E1133" s="3" t="str">
        <f ca="1">IFERROR(__xludf.DUMMYFUNCTION("GOOGLETRANSLATE(B1133,""fr"",""en"")"),"He blows the trumpet to play.")</f>
        <v>He blows the trumpet to play.</v>
      </c>
    </row>
    <row r="1134" spans="1:5" x14ac:dyDescent="0.25">
      <c r="A1134" s="2" t="s">
        <v>3401</v>
      </c>
      <c r="B1134" s="2" t="s">
        <v>3402</v>
      </c>
      <c r="C1134" s="3" t="s">
        <v>3403</v>
      </c>
      <c r="D1134" s="3" t="str">
        <f ca="1">IFERROR(__xludf.DUMMYFUNCTION("GOOGLETRANSLATE(A1134,""fr"",""en"")"),"document")</f>
        <v>document</v>
      </c>
      <c r="E1134" s="3" t="str">
        <f ca="1">IFERROR(__xludf.DUMMYFUNCTION("GOOGLETRANSLATE(B1134,""fr"",""en"")"),"They document every step of the process.")</f>
        <v>They document every step of the process.</v>
      </c>
    </row>
    <row r="1135" spans="1:5" x14ac:dyDescent="0.25">
      <c r="A1135" s="2" t="s">
        <v>3404</v>
      </c>
      <c r="B1135" s="2" t="s">
        <v>3405</v>
      </c>
      <c r="C1135" s="3" t="s">
        <v>3406</v>
      </c>
      <c r="D1135" s="3" t="str">
        <f ca="1">IFERROR(__xludf.DUMMYFUNCTION("GOOGLETRANSLATE(A1135,""fr"",""en"")"),"reconstitute")</f>
        <v>reconstitute</v>
      </c>
      <c r="E1135" s="3" t="str">
        <f ca="1">IFERROR(__xludf.DUMMYFUNCTION("GOOGLETRANSLATE(B1135,""fr"",""en"")"),"She puts the puzzle together in record time.")</f>
        <v>She puts the puzzle together in record time.</v>
      </c>
    </row>
    <row r="1136" spans="1:5" x14ac:dyDescent="0.25">
      <c r="A1136" s="2" t="s">
        <v>3407</v>
      </c>
      <c r="B1136" s="2" t="s">
        <v>3408</v>
      </c>
      <c r="C1136" s="3" t="s">
        <v>3409</v>
      </c>
      <c r="D1136" s="3" t="str">
        <f ca="1">IFERROR(__xludf.DUMMYFUNCTION("GOOGLETRANSLATE(A1136,""fr"",""en"")"),"invite")</f>
        <v>invite</v>
      </c>
      <c r="E1136" s="3" t="str">
        <f ca="1">IFERROR(__xludf.DUMMYFUNCTION("GOOGLETRANSLATE(B1136,""fr"",""en"")"),"They invite guests to the reception.")</f>
        <v>They invite guests to the reception.</v>
      </c>
    </row>
    <row r="1137" spans="1:5" x14ac:dyDescent="0.25">
      <c r="A1137" s="2" t="s">
        <v>3410</v>
      </c>
      <c r="B1137" s="2" t="s">
        <v>3411</v>
      </c>
      <c r="C1137" s="3" t="s">
        <v>3412</v>
      </c>
      <c r="D1137" s="3" t="str">
        <f ca="1">IFERROR(__xludf.DUMMYFUNCTION("GOOGLETRANSLATE(A1137,""fr"",""en"")"),"to bloom")</f>
        <v>to bloom</v>
      </c>
      <c r="E1137" s="3" t="str">
        <f ca="1">IFERROR(__xludf.DUMMYFUNCTION("GOOGLETRANSLATE(B1137,""fr"",""en"")"),"Flowers bloom in spring.")</f>
        <v>Flowers bloom in spring.</v>
      </c>
    </row>
    <row r="1138" spans="1:5" x14ac:dyDescent="0.25">
      <c r="A1138" s="2" t="s">
        <v>3413</v>
      </c>
      <c r="B1138" s="2" t="s">
        <v>3414</v>
      </c>
      <c r="C1138" s="3" t="s">
        <v>3415</v>
      </c>
      <c r="D1138" s="3" t="str">
        <f ca="1">IFERROR(__xludf.DUMMYFUNCTION("GOOGLETRANSLATE(A1138,""fr"",""en"")"),"purify")</f>
        <v>purify</v>
      </c>
      <c r="E1138" s="3" t="str">
        <f ca="1">IFERROR(__xludf.DUMMYFUNCTION("GOOGLETRANSLATE(B1138,""fr"",""en"")"),"It purifies the water with a filter.")</f>
        <v>It purifies the water with a filter.</v>
      </c>
    </row>
    <row r="1139" spans="1:5" x14ac:dyDescent="0.25">
      <c r="A1139" s="2" t="s">
        <v>3416</v>
      </c>
      <c r="B1139" s="2" t="s">
        <v>3417</v>
      </c>
      <c r="C1139" s="3" t="s">
        <v>3418</v>
      </c>
      <c r="D1139" s="3" t="str">
        <f ca="1">IFERROR(__xludf.DUMMYFUNCTION("GOOGLETRANSLATE(A1139,""fr"",""en"")"),"give back")</f>
        <v>give back</v>
      </c>
      <c r="E1139" s="3" t="str">
        <f ca="1">IFERROR(__xludf.DUMMYFUNCTION("GOOGLETRANSLATE(B1139,""fr"",""en"")"),"They give hope to the needy.")</f>
        <v>They give hope to the needy.</v>
      </c>
    </row>
    <row r="1140" spans="1:5" x14ac:dyDescent="0.25">
      <c r="A1140" s="2" t="s">
        <v>3419</v>
      </c>
      <c r="B1140" s="2" t="s">
        <v>3420</v>
      </c>
      <c r="C1140" s="3" t="s">
        <v>3421</v>
      </c>
      <c r="D1140" s="3" t="str">
        <f ca="1">IFERROR(__xludf.DUMMYFUNCTION("GOOGLETRANSLATE(A1140,""fr"",""en"")"),"legislate")</f>
        <v>legislate</v>
      </c>
      <c r="E1140" s="3" t="str">
        <f ca="1">IFERROR(__xludf.DUMMYFUNCTION("GOOGLETRANSLATE(B1140,""fr"",""en"")"),"It legislates on animal rights.")</f>
        <v>It legislates on animal rights.</v>
      </c>
    </row>
    <row r="1141" spans="1:5" x14ac:dyDescent="0.25">
      <c r="A1141" s="2" t="s">
        <v>3422</v>
      </c>
      <c r="B1141" s="2" t="s">
        <v>3423</v>
      </c>
      <c r="C1141" s="3" t="s">
        <v>3424</v>
      </c>
      <c r="D1141" s="3" t="str">
        <f ca="1">IFERROR(__xludf.DUMMYFUNCTION("GOOGLETRANSLATE(A1141,""fr"",""en"")"),"undercharge")</f>
        <v>undercharge</v>
      </c>
      <c r="E1141" s="3" t="str">
        <f ca="1">IFERROR(__xludf.DUMMYFUNCTION("GOOGLETRANSLATE(B1141,""fr"",""en"")"),"It underloads the transformer to avoid surges.")</f>
        <v>It underloads the transformer to avoid surges.</v>
      </c>
    </row>
    <row r="1142" spans="1:5" x14ac:dyDescent="0.25">
      <c r="A1142" s="2" t="s">
        <v>3425</v>
      </c>
      <c r="B1142" s="2" t="s">
        <v>3426</v>
      </c>
      <c r="C1142" s="3" t="s">
        <v>3427</v>
      </c>
      <c r="D1142" s="3" t="str">
        <f ca="1">IFERROR(__xludf.DUMMYFUNCTION("GOOGLETRANSLATE(A1142,""fr"",""en"")"),"call")</f>
        <v>call</v>
      </c>
      <c r="E1142" s="3" t="str">
        <f ca="1">IFERROR(__xludf.DUMMYFUNCTION("GOOGLETRANSLATE(B1142,""fr"",""en"")"),"She calls her friends to invite them.")</f>
        <v>She calls her friends to invite them.</v>
      </c>
    </row>
    <row r="1143" spans="1:5" x14ac:dyDescent="0.25">
      <c r="A1143" s="2" t="s">
        <v>3428</v>
      </c>
      <c r="B1143" s="2" t="s">
        <v>3429</v>
      </c>
      <c r="C1143" s="3" t="s">
        <v>3430</v>
      </c>
      <c r="D1143" s="3" t="str">
        <f ca="1">IFERROR(__xludf.DUMMYFUNCTION("GOOGLETRANSLATE(A1143,""fr"",""en"")"),"tick")</f>
        <v>tick</v>
      </c>
      <c r="E1143" s="3" t="str">
        <f ca="1">IFERROR(__xludf.DUMMYFUNCTION("GOOGLETRANSLATE(B1143,""fr"",""en"")"),"They check the boxes on the form.")</f>
        <v>They check the boxes on the form.</v>
      </c>
    </row>
    <row r="1144" spans="1:5" x14ac:dyDescent="0.25">
      <c r="A1144" s="2" t="s">
        <v>3431</v>
      </c>
      <c r="B1144" s="2" t="s">
        <v>3432</v>
      </c>
      <c r="C1144" s="3" t="s">
        <v>3433</v>
      </c>
      <c r="D1144" s="3" t="str">
        <f ca="1">IFERROR(__xludf.DUMMYFUNCTION("GOOGLETRANSLATE(A1144,""fr"",""en"")"),"to tart")</f>
        <v>to tart</v>
      </c>
      <c r="E1144" s="3" t="str">
        <f ca="1">IFERROR(__xludf.DUMMYFUNCTION("GOOGLETRANSLATE(B1144,""fr"",""en"")"),"Milk becomes tart when left too long.")</f>
        <v>Milk becomes tart when left too long.</v>
      </c>
    </row>
    <row r="1145" spans="1:5" x14ac:dyDescent="0.25">
      <c r="A1145" s="2" t="s">
        <v>3434</v>
      </c>
      <c r="B1145" s="2" t="s">
        <v>3435</v>
      </c>
      <c r="C1145" s="3" t="s">
        <v>3436</v>
      </c>
      <c r="D1145" s="3" t="str">
        <f ca="1">IFERROR(__xludf.DUMMYFUNCTION("GOOGLETRANSLATE(A1145,""fr"",""en"")"),"fasier")</f>
        <v>fasier</v>
      </c>
      <c r="E1145" s="3" t="str">
        <f ca="1">IFERROR(__xludf.DUMMYFUNCTION("GOOGLETRANSLATE(B1145,""fr"",""en"")"),"The production process must be done.")</f>
        <v>The production process must be done.</v>
      </c>
    </row>
    <row r="1146" spans="1:5" x14ac:dyDescent="0.25">
      <c r="A1146" s="2" t="s">
        <v>3437</v>
      </c>
      <c r="B1146" s="2" t="s">
        <v>3438</v>
      </c>
      <c r="C1146" s="3" t="s">
        <v>3439</v>
      </c>
      <c r="D1146" s="3" t="str">
        <f ca="1">IFERROR(__xludf.DUMMYFUNCTION("GOOGLETRANSLATE(A1146,""fr"",""en"")"),"gourmet")</f>
        <v>gourmet</v>
      </c>
      <c r="E1146" s="3" t="str">
        <f ca="1">IFERROR(__xludf.DUMMYFUNCTION("GOOGLETRANSLATE(B1146,""fr"",""en"")"),"She scolds the dog for his bad behavior.")</f>
        <v>She scolds the dog for his bad behavior.</v>
      </c>
    </row>
    <row r="1147" spans="1:5" x14ac:dyDescent="0.25">
      <c r="A1147" s="2" t="s">
        <v>3440</v>
      </c>
      <c r="B1147" s="2" t="s">
        <v>3441</v>
      </c>
      <c r="C1147" s="3" t="s">
        <v>3442</v>
      </c>
      <c r="D1147" s="3" t="str">
        <f ca="1">IFERROR(__xludf.DUMMYFUNCTION("GOOGLETRANSLATE(A1147,""fr"",""en"")"),"to overcome")</f>
        <v>to overcome</v>
      </c>
      <c r="E1147" s="3" t="str">
        <f ca="1">IFERROR(__xludf.DUMMYFUNCTION("GOOGLETRANSLATE(B1147,""fr"",""en"")"),"They compensate for deficiencies with food supplements.")</f>
        <v>They compensate for deficiencies with food supplements.</v>
      </c>
    </row>
    <row r="1148" spans="1:5" x14ac:dyDescent="0.25">
      <c r="A1148" s="2" t="s">
        <v>3443</v>
      </c>
      <c r="B1148" s="2" t="s">
        <v>3444</v>
      </c>
      <c r="C1148" s="3" t="s">
        <v>3445</v>
      </c>
      <c r="D1148" s="3" t="str">
        <f ca="1">IFERROR(__xludf.DUMMYFUNCTION("GOOGLETRANSLATE(A1148,""fr"",""en"")"),"lamp")</f>
        <v>lamp</v>
      </c>
      <c r="E1148" s="3" t="str">
        <f ca="1">IFERROR(__xludf.DUMMYFUNCTION("GOOGLETRANSLATE(B1148,""fr"",""en"")"),"He downs his glass in one gulp.")</f>
        <v>He downs his glass in one gulp.</v>
      </c>
    </row>
    <row r="1149" spans="1:5" x14ac:dyDescent="0.25">
      <c r="A1149" s="2" t="s">
        <v>3446</v>
      </c>
      <c r="B1149" s="2" t="s">
        <v>3447</v>
      </c>
      <c r="C1149" s="3" t="s">
        <v>3448</v>
      </c>
      <c r="D1149" s="3" t="str">
        <f ca="1">IFERROR(__xludf.DUMMYFUNCTION("GOOGLETRANSLATE(A1149,""fr"",""en"")"),"encompass")</f>
        <v>encompass</v>
      </c>
      <c r="E1149" s="3" t="str">
        <f ca="1">IFERROR(__xludf.DUMMYFUNCTION("GOOGLETRANSLATE(B1149,""fr"",""en"")"),"They encompass all aspects of the project.")</f>
        <v>They encompass all aspects of the project.</v>
      </c>
    </row>
    <row r="1150" spans="1:5" x14ac:dyDescent="0.25">
      <c r="A1150" s="2" t="s">
        <v>3449</v>
      </c>
      <c r="B1150" s="2" t="s">
        <v>3450</v>
      </c>
      <c r="C1150" s="3" t="s">
        <v>3451</v>
      </c>
      <c r="D1150" s="3" t="str">
        <f ca="1">IFERROR(__xludf.DUMMYFUNCTION("GOOGLETRANSLATE(A1150,""fr"",""en"")"),"code")</f>
        <v>code</v>
      </c>
      <c r="E1150" s="3" t="str">
        <f ca="1">IFERROR(__xludf.DUMMYFUNCTION("GOOGLETRANSLATE(B1150,""fr"",""en"")"),"He codes new computer software.")</f>
        <v>He codes new computer software.</v>
      </c>
    </row>
    <row r="1151" spans="1:5" x14ac:dyDescent="0.25">
      <c r="A1151" s="2" t="s">
        <v>3452</v>
      </c>
      <c r="B1151" s="2" t="s">
        <v>3453</v>
      </c>
      <c r="C1151" s="3" t="s">
        <v>3454</v>
      </c>
      <c r="D1151" s="3" t="str">
        <f ca="1">IFERROR(__xludf.DUMMYFUNCTION("GOOGLETRANSLATE(A1151,""fr"",""en"")"),"backlight")</f>
        <v>backlight</v>
      </c>
      <c r="E1151" s="3" t="str">
        <f ca="1">IFERROR(__xludf.DUMMYFUNCTION("GOOGLETRANSLATE(B1151,""fr"",""en"")"),"It backlights the keyboard for better visibility.")</f>
        <v>It backlights the keyboard for better visibility.</v>
      </c>
    </row>
    <row r="1152" spans="1:5" x14ac:dyDescent="0.25">
      <c r="A1152" s="2" t="s">
        <v>3455</v>
      </c>
      <c r="B1152" s="2" t="s">
        <v>3456</v>
      </c>
      <c r="C1152" s="3" t="s">
        <v>3457</v>
      </c>
      <c r="D1152" s="3" t="str">
        <f ca="1">IFERROR(__xludf.DUMMYFUNCTION("GOOGLETRANSLATE(A1152,""fr"",""en"")"),"amend")</f>
        <v>amend</v>
      </c>
      <c r="E1152" s="3" t="str">
        <f ca="1">IFERROR(__xludf.DUMMYFUNCTION("GOOGLETRANSLATE(B1152,""fr"",""en"")"),"They amend the constitution to adapt it to new realities.")</f>
        <v>They amend the constitution to adapt it to new realities.</v>
      </c>
    </row>
    <row r="1153" spans="1:5" x14ac:dyDescent="0.25">
      <c r="A1153" s="2" t="s">
        <v>3458</v>
      </c>
      <c r="B1153" s="2" t="s">
        <v>3459</v>
      </c>
      <c r="C1153" s="3" t="s">
        <v>3460</v>
      </c>
      <c r="D1153" s="3" t="str">
        <f ca="1">IFERROR(__xludf.DUMMYFUNCTION("GOOGLETRANSLATE(A1153,""fr"",""en"")"),"to instruct")</f>
        <v>to instruct</v>
      </c>
      <c r="E1153" s="3" t="str">
        <f ca="1">IFERROR(__xludf.DUMMYFUNCTION("GOOGLETRANSLATE(B1153,""fr"",""en"")"),"He teaches his students with passion.")</f>
        <v>He teaches his students with passion.</v>
      </c>
    </row>
    <row r="1154" spans="1:5" x14ac:dyDescent="0.25">
      <c r="A1154" s="2" t="s">
        <v>3461</v>
      </c>
      <c r="B1154" s="2" t="s">
        <v>3462</v>
      </c>
      <c r="C1154" s="3" t="s">
        <v>3463</v>
      </c>
      <c r="D1154" s="3" t="str">
        <f ca="1">IFERROR(__xludf.DUMMYFUNCTION("GOOGLETRANSLATE(A1154,""fr"",""en"")"),"experiment")</f>
        <v>experiment</v>
      </c>
      <c r="E1154" s="3" t="str">
        <f ca="1">IFERROR(__xludf.DUMMYFUNCTION("GOOGLETRANSLATE(B1154,""fr"",""en"")"),"They are experimenting with new methods.")</f>
        <v>They are experimenting with new methods.</v>
      </c>
    </row>
    <row r="1155" spans="1:5" x14ac:dyDescent="0.25">
      <c r="A1155" s="2" t="s">
        <v>3464</v>
      </c>
      <c r="B1155" s="2" t="s">
        <v>3465</v>
      </c>
      <c r="C1155" s="3" t="s">
        <v>3466</v>
      </c>
      <c r="D1155" s="3" t="str">
        <f ca="1">IFERROR(__xludf.DUMMYFUNCTION("GOOGLETRANSLATE(A1155,""fr"",""en"")"),"view")</f>
        <v>view</v>
      </c>
      <c r="E1155" s="3" t="str">
        <f ca="1">IFERROR(__xludf.DUMMYFUNCTION("GOOGLETRANSLATE(B1155,""fr"",""en"")"),"She watches the film before its theatrical release.")</f>
        <v>She watches the film before its theatrical release.</v>
      </c>
    </row>
    <row r="1156" spans="1:5" x14ac:dyDescent="0.25">
      <c r="A1156" s="2" t="s">
        <v>3467</v>
      </c>
      <c r="B1156" s="2" t="s">
        <v>3468</v>
      </c>
      <c r="C1156" s="3" t="s">
        <v>3469</v>
      </c>
      <c r="D1156" s="3" t="str">
        <f ca="1">IFERROR(__xludf.DUMMYFUNCTION("GOOGLETRANSLATE(A1156,""fr"",""en"")"),"sublicense")</f>
        <v>sublicense</v>
      </c>
      <c r="E1156" s="3" t="str">
        <f ca="1">IFERROR(__xludf.DUMMYFUNCTION("GOOGLETRANSLATE(B1156,""fr"",""en"")"),"They sublicense the rights to use the software.")</f>
        <v>They sublicense the rights to use the software.</v>
      </c>
    </row>
    <row r="1157" spans="1:5" x14ac:dyDescent="0.25">
      <c r="A1157" s="2" t="s">
        <v>3470</v>
      </c>
      <c r="B1157" s="2" t="s">
        <v>3471</v>
      </c>
      <c r="C1157" s="3" t="s">
        <v>3472</v>
      </c>
      <c r="D1157" s="3" t="str">
        <f ca="1">IFERROR(__xludf.DUMMYFUNCTION("GOOGLETRANSLATE(A1157,""fr"",""en"")"),"to walk")</f>
        <v>to walk</v>
      </c>
      <c r="E1157" s="3" t="str">
        <f ca="1">IFERROR(__xludf.DUMMYFUNCTION("GOOGLETRANSLATE(B1157,""fr"",""en"")"),"He stamps his feet on the ground in frustration.")</f>
        <v>He stamps his feet on the ground in frustration.</v>
      </c>
    </row>
    <row r="1158" spans="1:5" x14ac:dyDescent="0.25">
      <c r="A1158" s="2" t="s">
        <v>3473</v>
      </c>
      <c r="B1158" s="2" t="s">
        <v>3474</v>
      </c>
      <c r="C1158" s="3" t="s">
        <v>3475</v>
      </c>
      <c r="D1158" s="3" t="str">
        <f ca="1">IFERROR(__xludf.DUMMYFUNCTION("GOOGLETRANSLATE(A1158,""fr"",""en"")"),"time")</f>
        <v>time</v>
      </c>
      <c r="E1158" s="3" t="str">
        <f ca="1">IFERROR(__xludf.DUMMYFUNCTION("GOOGLETRANSLATE(B1158,""fr"",""en"")"),"They time the race precisely.")</f>
        <v>They time the race precisely.</v>
      </c>
    </row>
    <row r="1159" spans="1:5" x14ac:dyDescent="0.25">
      <c r="A1159" s="2" t="s">
        <v>3476</v>
      </c>
      <c r="B1159" s="2" t="s">
        <v>3477</v>
      </c>
      <c r="C1159" s="3" t="s">
        <v>3478</v>
      </c>
      <c r="D1159" s="3" t="str">
        <f ca="1">IFERROR(__xludf.DUMMYFUNCTION("GOOGLETRANSLATE(A1159,""fr"",""en"")"),"conquer")</f>
        <v>conquer</v>
      </c>
      <c r="E1159" s="3" t="str">
        <f ca="1">IFERROR(__xludf.DUMMYFUNCTION("GOOGLETRANSLATE(B1159,""fr"",""en"")"),"It is conquering new international markets.")</f>
        <v>It is conquering new international markets.</v>
      </c>
    </row>
    <row r="1160" spans="1:5" x14ac:dyDescent="0.25">
      <c r="A1160" s="2" t="s">
        <v>3479</v>
      </c>
      <c r="B1160" s="2" t="s">
        <v>3480</v>
      </c>
      <c r="C1160" s="3" t="s">
        <v>3481</v>
      </c>
      <c r="D1160" s="3" t="str">
        <f ca="1">IFERROR(__xludf.DUMMYFUNCTION("GOOGLETRANSLATE(A1160,""fr"",""en"")"),"engrave")</f>
        <v>engrave</v>
      </c>
      <c r="E1160" s="3" t="str">
        <f ca="1">IFERROR(__xludf.DUMMYFUNCTION("GOOGLETRANSLATE(B1160,""fr"",""en"")"),"They carve their initials on the tree.")</f>
        <v>They carve their initials on the tree.</v>
      </c>
    </row>
    <row r="1161" spans="1:5" x14ac:dyDescent="0.25">
      <c r="A1161" s="2" t="s">
        <v>3482</v>
      </c>
      <c r="B1161" s="2" t="s">
        <v>3483</v>
      </c>
      <c r="C1161" s="3" t="s">
        <v>3484</v>
      </c>
      <c r="D1161" s="3" t="str">
        <f ca="1">IFERROR(__xludf.DUMMYFUNCTION("GOOGLETRANSLATE(A1161,""fr"",""en"")"),"underpay")</f>
        <v>underpay</v>
      </c>
      <c r="E1161" s="3" t="str">
        <f ca="1">IFERROR(__xludf.DUMMYFUNCTION("GOOGLETRANSLATE(B1161,""fr"",""en"")"),"He underpays his employees, which causes tensions.")</f>
        <v>He underpays his employees, which causes tensions.</v>
      </c>
    </row>
    <row r="1162" spans="1:5" x14ac:dyDescent="0.25">
      <c r="A1162" s="2" t="s">
        <v>3485</v>
      </c>
      <c r="B1162" s="2" t="s">
        <v>3486</v>
      </c>
      <c r="C1162" s="3" t="s">
        <v>3487</v>
      </c>
      <c r="D1162" s="3" t="str">
        <f ca="1">IFERROR(__xludf.DUMMYFUNCTION("GOOGLETRANSLATE(A1162,""fr"",""en"")"),"frame")</f>
        <v>frame</v>
      </c>
      <c r="E1162" s="3" t="str">
        <f ca="1">IFERROR(__xludf.DUMMYFUNCTION("GOOGLETRANSLATE(B1162,""fr"",""en"")"),"They coach young athletes to help them progress.")</f>
        <v>They coach young athletes to help them progress.</v>
      </c>
    </row>
    <row r="1163" spans="1:5" x14ac:dyDescent="0.25">
      <c r="A1163" s="2" t="s">
        <v>3488</v>
      </c>
      <c r="B1163" s="2" t="s">
        <v>3489</v>
      </c>
      <c r="C1163" s="3" t="s">
        <v>3490</v>
      </c>
      <c r="D1163" s="3" t="str">
        <f ca="1">IFERROR(__xludf.DUMMYFUNCTION("GOOGLETRANSLATE(A1163,""fr"",""en"")"),"to confuse")</f>
        <v>to confuse</v>
      </c>
      <c r="E1163" s="3" t="str">
        <f ca="1">IFERROR(__xludf.DUMMYFUNCTION("GOOGLETRANSLATE(B1163,""fr"",""en"")"),"Do not confuse speed with haste.")</f>
        <v>Do not confuse speed with haste.</v>
      </c>
    </row>
    <row r="1164" spans="1:5" x14ac:dyDescent="0.25">
      <c r="A1164" s="2" t="s">
        <v>3491</v>
      </c>
      <c r="B1164" s="2" t="s">
        <v>3492</v>
      </c>
      <c r="C1164" s="3" t="s">
        <v>3493</v>
      </c>
      <c r="D1164" s="3" t="str">
        <f ca="1">IFERROR(__xludf.DUMMYFUNCTION("GOOGLETRANSLATE(A1164,""fr"",""en"")"),"increment")</f>
        <v>increment</v>
      </c>
      <c r="E1164" s="3" t="str">
        <f ca="1">IFERROR(__xludf.DUMMYFUNCTION("GOOGLETRANSLATE(B1164,""fr"",""en"")"),"They increase the number of users every month.")</f>
        <v>They increase the number of users every month.</v>
      </c>
    </row>
    <row r="1165" spans="1:5" x14ac:dyDescent="0.25">
      <c r="A1165" s="2" t="s">
        <v>3494</v>
      </c>
      <c r="B1165" s="2" t="s">
        <v>3495</v>
      </c>
      <c r="C1165" s="3" t="s">
        <v>3496</v>
      </c>
      <c r="D1165" s="3" t="str">
        <f ca="1">IFERROR(__xludf.DUMMYFUNCTION("GOOGLETRANSLATE(A1165,""fr"",""en"")"),"unionize")</f>
        <v>unionize</v>
      </c>
      <c r="E1165" s="3" t="str">
        <f ca="1">IFERROR(__xludf.DUMMYFUNCTION("GOOGLETRANSLATE(B1165,""fr"",""en"")"),"He unionizes workers to defend their rights.")</f>
        <v>He unionizes workers to defend their rights.</v>
      </c>
    </row>
    <row r="1166" spans="1:5" x14ac:dyDescent="0.25">
      <c r="A1166" s="2" t="s">
        <v>3497</v>
      </c>
      <c r="B1166" s="2" t="s">
        <v>3498</v>
      </c>
      <c r="C1166" s="3" t="s">
        <v>3499</v>
      </c>
      <c r="D1166" s="3" t="str">
        <f ca="1">IFERROR(__xludf.DUMMYFUNCTION("GOOGLETRANSLATE(A1166,""fr"",""en"")"),"dive")</f>
        <v>dive</v>
      </c>
      <c r="E1166" s="3" t="str">
        <f ca="1">IFERROR(__xludf.DUMMYFUNCTION("GOOGLETRANSLATE(B1166,""fr"",""en"")"),"She dives into the water to swim.")</f>
        <v>She dives into the water to swim.</v>
      </c>
    </row>
    <row r="1167" spans="1:5" x14ac:dyDescent="0.25">
      <c r="A1167" s="2" t="s">
        <v>3500</v>
      </c>
      <c r="B1167" s="2" t="s">
        <v>3501</v>
      </c>
      <c r="C1167" s="3" t="s">
        <v>3502</v>
      </c>
      <c r="D1167" s="3" t="str">
        <f ca="1">IFERROR(__xludf.DUMMYFUNCTION("GOOGLETRANSLATE(A1167,""fr"",""en"")"),"seem")</f>
        <v>seem</v>
      </c>
      <c r="E1167" s="3" t="str">
        <f ca="1">IFERROR(__xludf.DUMMYFUNCTION("GOOGLETRANSLATE(B1167,""fr"",""en"")"),"It seems there is a misunderstanding.")</f>
        <v>It seems there is a misunderstanding.</v>
      </c>
    </row>
    <row r="1168" spans="1:5" x14ac:dyDescent="0.25">
      <c r="A1168" s="2" t="s">
        <v>3503</v>
      </c>
      <c r="B1168" s="2" t="s">
        <v>3504</v>
      </c>
      <c r="C1168" s="3" t="s">
        <v>3505</v>
      </c>
      <c r="D1168" s="3" t="str">
        <f ca="1">IFERROR(__xludf.DUMMYFUNCTION("GOOGLETRANSLATE(A1168,""fr"",""en"")"),"to focus")</f>
        <v>to focus</v>
      </c>
      <c r="E1168" s="3" t="str">
        <f ca="1">IFERROR(__xludf.DUMMYFUNCTION("GOOGLETRANSLATE(B1168,""fr"",""en"")"),"They focus their strategy on innovation.")</f>
        <v>They focus their strategy on innovation.</v>
      </c>
    </row>
    <row r="1169" spans="1:5" x14ac:dyDescent="0.25">
      <c r="A1169" s="2" t="s">
        <v>3506</v>
      </c>
      <c r="B1169" s="2" t="s">
        <v>3507</v>
      </c>
      <c r="C1169" s="3" t="s">
        <v>3508</v>
      </c>
      <c r="D1169" s="3" t="str">
        <f ca="1">IFERROR(__xludf.DUMMYFUNCTION("GOOGLETRANSLATE(A1169,""fr"",""en"")"),"reload")</f>
        <v>reload</v>
      </c>
      <c r="E1169" s="3" t="str">
        <f ca="1">IFERROR(__xludf.DUMMYFUNCTION("GOOGLETRANSLATE(B1169,""fr"",""en"")"),"He charges his phone before leaving.")</f>
        <v>He charges his phone before leaving.</v>
      </c>
    </row>
    <row r="1170" spans="1:5" x14ac:dyDescent="0.25">
      <c r="A1170" s="2" t="s">
        <v>3509</v>
      </c>
      <c r="B1170" s="2" t="s">
        <v>3510</v>
      </c>
      <c r="C1170" s="3" t="s">
        <v>3511</v>
      </c>
      <c r="D1170" s="3" t="str">
        <f ca="1">IFERROR(__xludf.DUMMYFUNCTION("GOOGLETRANSLATE(A1170,""fr"",""en"")"),"pick up")</f>
        <v>pick up</v>
      </c>
      <c r="E1170" s="3" t="str">
        <f ca="1">IFERROR(__xludf.DUMMYFUNCTION("GOOGLETRANSLATE(B1170,""fr"",""en"")"),"She picks up the phone on the first ring.")</f>
        <v>She picks up the phone on the first ring.</v>
      </c>
    </row>
    <row r="1171" spans="1:5" x14ac:dyDescent="0.25">
      <c r="A1171" s="2" t="s">
        <v>3512</v>
      </c>
      <c r="B1171" s="2" t="s">
        <v>3513</v>
      </c>
      <c r="C1171" s="3" t="s">
        <v>3514</v>
      </c>
      <c r="D1171" s="3" t="str">
        <f ca="1">IFERROR(__xludf.DUMMYFUNCTION("GOOGLETRANSLATE(A1171,""fr"",""en"")"),"enjoy")</f>
        <v>enjoy</v>
      </c>
      <c r="E1171" s="3" t="str">
        <f ca="1">IFERROR(__xludf.DUMMYFUNCTION("GOOGLETRANSLATE(B1171,""fr"",""en"")"),"They savor every bite of their meal.")</f>
        <v>They savor every bite of their meal.</v>
      </c>
    </row>
    <row r="1172" spans="1:5" x14ac:dyDescent="0.25">
      <c r="A1172" s="2" t="s">
        <v>3515</v>
      </c>
      <c r="B1172" s="2" t="s">
        <v>3516</v>
      </c>
      <c r="C1172" s="3" t="s">
        <v>3517</v>
      </c>
      <c r="D1172" s="3" t="str">
        <f ca="1">IFERROR(__xludf.DUMMYFUNCTION("GOOGLETRANSLATE(A1172,""fr"",""en"")"),"line")</f>
        <v>line</v>
      </c>
      <c r="E1172" s="3" t="str">
        <f ca="1">IFERROR(__xludf.DUMMYFUNCTION("GOOGLETRANSLATE(B1172,""fr"",""en"")"),"She lines the paper for printing.")</f>
        <v>She lines the paper for printing.</v>
      </c>
    </row>
    <row r="1173" spans="1:5" x14ac:dyDescent="0.25">
      <c r="A1173" s="2" t="s">
        <v>3518</v>
      </c>
      <c r="B1173" s="2" t="s">
        <v>3519</v>
      </c>
      <c r="C1173" s="3" t="s">
        <v>3520</v>
      </c>
      <c r="D1173" s="3" t="str">
        <f ca="1">IFERROR(__xludf.DUMMYFUNCTION("GOOGLETRANSLATE(A1173,""fr"",""en"")"),"to click")</f>
        <v>to click</v>
      </c>
      <c r="E1173" s="3" t="str">
        <f ca="1">IFERROR(__xludf.DUMMYFUNCTION("GOOGLETRANSLATE(B1173,""fr"",""en"")"),"He clicks on the link to access the website.")</f>
        <v>He clicks on the link to access the website.</v>
      </c>
    </row>
    <row r="1174" spans="1:5" x14ac:dyDescent="0.25">
      <c r="A1174" s="2" t="s">
        <v>3521</v>
      </c>
      <c r="B1174" s="2" t="s">
        <v>3522</v>
      </c>
      <c r="C1174" s="3" t="s">
        <v>3523</v>
      </c>
      <c r="D1174" s="3" t="str">
        <f ca="1">IFERROR(__xludf.DUMMYFUNCTION("GOOGLETRANSLATE(A1174,""fr"",""en"")"),"video recorder")</f>
        <v>video recorder</v>
      </c>
      <c r="E1174" s="3" t="str">
        <f ca="1">IFERROR(__xludf.DUMMYFUNCTION("GOOGLETRANSLATE(B1174,""fr"",""en"")"),"They videotape the interview for the archive.")</f>
        <v>They videotape the interview for the archive.</v>
      </c>
    </row>
    <row r="1175" spans="1:5" x14ac:dyDescent="0.25">
      <c r="A1175" s="2" t="s">
        <v>3524</v>
      </c>
      <c r="B1175" s="2" t="s">
        <v>3525</v>
      </c>
      <c r="C1175" s="3" t="s">
        <v>3526</v>
      </c>
      <c r="D1175" s="3" t="str">
        <f ca="1">IFERROR(__xludf.DUMMYFUNCTION("GOOGLETRANSLATE(A1175,""fr"",""en"")"),"authenticate")</f>
        <v>authenticate</v>
      </c>
      <c r="E1175" s="3" t="str">
        <f ca="1">IFERROR(__xludf.DUMMYFUNCTION("GOOGLETRANSLATE(B1175,""fr"",""en"")"),"It authenticates official documents.")</f>
        <v>It authenticates official documents.</v>
      </c>
    </row>
    <row r="1176" spans="1:5" x14ac:dyDescent="0.25">
      <c r="A1176" s="2" t="s">
        <v>3527</v>
      </c>
      <c r="B1176" s="2" t="s">
        <v>3528</v>
      </c>
      <c r="C1176" s="3" t="s">
        <v>3529</v>
      </c>
      <c r="D1176" s="3" t="str">
        <f ca="1">IFERROR(__xludf.DUMMYFUNCTION("GOOGLETRANSLATE(A1176,""fr"",""en"")"),"impress")</f>
        <v>impress</v>
      </c>
      <c r="E1176" s="3" t="str">
        <f ca="1">IFERROR(__xludf.DUMMYFUNCTION("GOOGLETRANSLATE(B1176,""fr"",""en"")"),"He impresses everyone with his talents.")</f>
        <v>He impresses everyone with his talents.</v>
      </c>
    </row>
    <row r="1177" spans="1:5" x14ac:dyDescent="0.25">
      <c r="A1177" s="2" t="s">
        <v>3530</v>
      </c>
      <c r="B1177" s="2" t="s">
        <v>3531</v>
      </c>
      <c r="C1177" s="3" t="s">
        <v>3532</v>
      </c>
      <c r="D1177" s="3" t="str">
        <f ca="1">IFERROR(__xludf.DUMMYFUNCTION("GOOGLETRANSLATE(A1177,""fr"",""en"")"),"dominate")</f>
        <v>dominate</v>
      </c>
      <c r="E1177" s="3" t="str">
        <f ca="1">IFERROR(__xludf.DUMMYFUNCTION("GOOGLETRANSLATE(B1177,""fr"",""en"")"),"They dominate the market with their products.")</f>
        <v>They dominate the market with their products.</v>
      </c>
    </row>
    <row r="1178" spans="1:5" x14ac:dyDescent="0.25">
      <c r="A1178" s="2" t="s">
        <v>3533</v>
      </c>
      <c r="B1178" s="2" t="s">
        <v>3534</v>
      </c>
      <c r="C1178" s="3" t="s">
        <v>3535</v>
      </c>
      <c r="D1178" s="3" t="str">
        <f ca="1">IFERROR(__xludf.DUMMYFUNCTION("GOOGLETRANSLATE(A1178,""fr"",""en"")"),"unlock")</f>
        <v>unlock</v>
      </c>
      <c r="E1178" s="3" t="str">
        <f ca="1">IFERROR(__xludf.DUMMYFUNCTION("GOOGLETRANSLATE(B1178,""fr"",""en"")"),"He unlocks the door with the key.")</f>
        <v>He unlocks the door with the key.</v>
      </c>
    </row>
    <row r="1179" spans="1:5" x14ac:dyDescent="0.25">
      <c r="A1179" s="2" t="s">
        <v>3536</v>
      </c>
      <c r="B1179" s="2" t="s">
        <v>3537</v>
      </c>
      <c r="C1179" s="3" t="s">
        <v>3538</v>
      </c>
      <c r="D1179" s="3" t="str">
        <f ca="1">IFERROR(__xludf.DUMMYFUNCTION("GOOGLETRANSLATE(A1179,""fr"",""en"")"),"undermine")</f>
        <v>undermine</v>
      </c>
      <c r="E1179" s="3" t="str">
        <f ca="1">IFERROR(__xludf.DUMMYFUNCTION("GOOGLETRANSLATE(B1179,""fr"",""en"")"),"They undermine the authority of their superior.")</f>
        <v>They undermine the authority of their superior.</v>
      </c>
    </row>
    <row r="1180" spans="1:5" x14ac:dyDescent="0.25">
      <c r="A1180" s="2" t="s">
        <v>3539</v>
      </c>
      <c r="B1180" s="2" t="s">
        <v>3540</v>
      </c>
      <c r="C1180" s="3" t="s">
        <v>3541</v>
      </c>
      <c r="D1180" s="3" t="str">
        <f ca="1">IFERROR(__xludf.DUMMYFUNCTION("GOOGLETRANSLATE(A1180,""fr"",""en"")"),"assign")</f>
        <v>assign</v>
      </c>
      <c r="E1180" s="3" t="str">
        <f ca="1">IFERROR(__xludf.DUMMYFUNCTION("GOOGLETRANSLATE(B1180,""fr"",""en"")"),"She assigns tasks to everyone.")</f>
        <v>She assigns tasks to everyone.</v>
      </c>
    </row>
    <row r="1181" spans="1:5" x14ac:dyDescent="0.25">
      <c r="A1181" s="2" t="s">
        <v>3542</v>
      </c>
      <c r="B1181" s="2" t="s">
        <v>3543</v>
      </c>
      <c r="C1181" s="3" t="s">
        <v>3544</v>
      </c>
      <c r="D1181" s="3" t="str">
        <f ca="1">IFERROR(__xludf.DUMMYFUNCTION("GOOGLETRANSLATE(A1181,""fr"",""en"")"),"reconsider")</f>
        <v>reconsider</v>
      </c>
      <c r="E1181" s="3" t="str">
        <f ca="1">IFERROR(__xludf.DUMMYFUNCTION("GOOGLETRANSLATE(B1181,""fr"",""en"")"),"They reconsider their strategy after failure.")</f>
        <v>They reconsider their strategy after failure.</v>
      </c>
    </row>
    <row r="1182" spans="1:5" x14ac:dyDescent="0.25">
      <c r="A1182" s="2" t="s">
        <v>3545</v>
      </c>
      <c r="B1182" s="2" t="s">
        <v>3546</v>
      </c>
      <c r="C1182" s="3" t="s">
        <v>3547</v>
      </c>
      <c r="D1182" s="3" t="str">
        <f ca="1">IFERROR(__xludf.DUMMYFUNCTION("GOOGLETRANSLATE(A1182,""fr"",""en"")"),"to hit")</f>
        <v>to hit</v>
      </c>
      <c r="E1182" s="3" t="str">
        <f ca="1">IFERROR(__xludf.DUMMYFUNCTION("GOOGLETRANSLATE(B1182,""fr"",""en"")"),"The car hits the pavement hard.")</f>
        <v>The car hits the pavement hard.</v>
      </c>
    </row>
    <row r="1183" spans="1:5" x14ac:dyDescent="0.25">
      <c r="A1183" s="2" t="s">
        <v>3548</v>
      </c>
      <c r="B1183" s="2" t="s">
        <v>3549</v>
      </c>
      <c r="C1183" s="3" t="s">
        <v>3550</v>
      </c>
      <c r="D1183" s="3" t="str">
        <f ca="1">IFERROR(__xludf.DUMMYFUNCTION("GOOGLETRANSLATE(A1183,""fr"",""en"")"),"pledge")</f>
        <v>pledge</v>
      </c>
      <c r="E1183" s="3" t="str">
        <f ca="1">IFERROR(__xludf.DUMMYFUNCTION("GOOGLETRANSLATE(B1183,""fr"",""en"")"),"They pledge the property to obtain a loan.")</f>
        <v>They pledge the property to obtain a loan.</v>
      </c>
    </row>
    <row r="1184" spans="1:5" x14ac:dyDescent="0.25">
      <c r="A1184" s="2" t="s">
        <v>3551</v>
      </c>
      <c r="B1184" s="2" t="s">
        <v>3552</v>
      </c>
      <c r="C1184" s="3" t="s">
        <v>3553</v>
      </c>
      <c r="D1184" s="3" t="str">
        <f ca="1">IFERROR(__xludf.DUMMYFUNCTION("GOOGLETRANSLATE(A1184,""fr"",""en"")"),"connect")</f>
        <v>connect</v>
      </c>
      <c r="E1184" s="3" t="str">
        <f ca="1">IFERROR(__xludf.DUMMYFUNCTION("GOOGLETRANSLATE(B1184,""fr"",""en"")"),"He plugs the laptop into the electrical outlet.")</f>
        <v>He plugs the laptop into the electrical outlet.</v>
      </c>
    </row>
    <row r="1185" spans="1:5" x14ac:dyDescent="0.25">
      <c r="A1185" s="2" t="s">
        <v>3554</v>
      </c>
      <c r="B1185" s="2" t="s">
        <v>3555</v>
      </c>
      <c r="C1185" s="3" t="s">
        <v>3556</v>
      </c>
      <c r="D1185" s="3" t="str">
        <f ca="1">IFERROR(__xludf.DUMMYFUNCTION("GOOGLETRANSLATE(A1185,""fr"",""en"")"),"transpose")</f>
        <v>transpose</v>
      </c>
      <c r="E1185" s="3" t="str">
        <f ca="1">IFERROR(__xludf.DUMMYFUNCTION("GOOGLETRANSLATE(B1185,""fr"",""en"")"),"They transpose the song into another key.")</f>
        <v>They transpose the song into another key.</v>
      </c>
    </row>
    <row r="1186" spans="1:5" x14ac:dyDescent="0.25">
      <c r="A1186" s="2" t="s">
        <v>3557</v>
      </c>
      <c r="B1186" s="2" t="s">
        <v>3558</v>
      </c>
      <c r="C1186" s="3" t="s">
        <v>3559</v>
      </c>
      <c r="D1186" s="3" t="str">
        <f ca="1">IFERROR(__xludf.DUMMYFUNCTION("GOOGLETRANSLATE(A1186,""fr"",""en"")"),"reintegrate")</f>
        <v>reintegrate</v>
      </c>
      <c r="E1186" s="3" t="str">
        <f ca="1">IFERROR(__xludf.DUMMYFUNCTION("GOOGLETRANSLATE(B1186,""fr"",""en"")"),"They reinstate the employee after his suspension.")</f>
        <v>They reinstate the employee after his suspension.</v>
      </c>
    </row>
    <row r="1187" spans="1:5" x14ac:dyDescent="0.25">
      <c r="A1187" s="2" t="s">
        <v>3560</v>
      </c>
      <c r="B1187" s="2" t="s">
        <v>3561</v>
      </c>
      <c r="C1187" s="3" t="s">
        <v>3562</v>
      </c>
      <c r="D1187" s="3" t="str">
        <f ca="1">IFERROR(__xludf.DUMMYFUNCTION("GOOGLETRANSLATE(A1187,""fr"",""en"")"),"to throne")</f>
        <v>to throne</v>
      </c>
      <c r="E1187" s="3" t="str">
        <f ca="1">IFERROR(__xludf.DUMMYFUNCTION("GOOGLETRANSLATE(B1187,""fr"",""en"")"),"She sits elegantly on her throne.")</f>
        <v>She sits elegantly on her throne.</v>
      </c>
    </row>
    <row r="1188" spans="1:5" x14ac:dyDescent="0.25">
      <c r="A1188" s="2" t="s">
        <v>3563</v>
      </c>
      <c r="B1188" s="2" t="s">
        <v>3564</v>
      </c>
      <c r="C1188" s="3" t="s">
        <v>3565</v>
      </c>
      <c r="D1188" s="3" t="str">
        <f ca="1">IFERROR(__xludf.DUMMYFUNCTION("GOOGLETRANSLATE(A1188,""fr"",""en"")"),"certify")</f>
        <v>certify</v>
      </c>
      <c r="E1188" s="3" t="str">
        <f ca="1">IFERROR(__xludf.DUMMYFUNCTION("GOOGLETRANSLATE(B1188,""fr"",""en"")"),"It certifies products that comply with standards.")</f>
        <v>It certifies products that comply with standards.</v>
      </c>
    </row>
    <row r="1189" spans="1:5" x14ac:dyDescent="0.25">
      <c r="A1189" s="2" t="s">
        <v>3566</v>
      </c>
      <c r="B1189" s="2" t="s">
        <v>3567</v>
      </c>
      <c r="C1189" s="3" t="s">
        <v>3568</v>
      </c>
      <c r="D1189" s="3" t="str">
        <f ca="1">IFERROR(__xludf.DUMMYFUNCTION("GOOGLETRANSLATE(A1189,""fr"",""en"")"),"complain")</f>
        <v>complain</v>
      </c>
      <c r="E1189" s="3" t="str">
        <f ca="1">IFERROR(__xludf.DUMMYFUNCTION("GOOGLETRANSLATE(B1189,""fr"",""en"")"),"She pities the fate of the most deprived.")</f>
        <v>She pities the fate of the most deprived.</v>
      </c>
    </row>
    <row r="1190" spans="1:5" x14ac:dyDescent="0.25">
      <c r="A1190" s="2" t="s">
        <v>3569</v>
      </c>
      <c r="B1190" s="2" t="s">
        <v>3570</v>
      </c>
      <c r="C1190" s="3" t="s">
        <v>3571</v>
      </c>
      <c r="D1190" s="3" t="str">
        <f ca="1">IFERROR(__xludf.DUMMYFUNCTION("GOOGLETRANSLATE(A1190,""fr"",""en"")"),"photograph")</f>
        <v>photograph</v>
      </c>
      <c r="E1190" s="3" t="str">
        <f ca="1">IFERROR(__xludf.DUMMYFUNCTION("GOOGLETRANSLATE(B1190,""fr"",""en"")"),"He photographs the landscapes during his trip.")</f>
        <v>He photographs the landscapes during his trip.</v>
      </c>
    </row>
    <row r="1191" spans="1:5" x14ac:dyDescent="0.25">
      <c r="A1191" s="2" t="s">
        <v>3572</v>
      </c>
      <c r="B1191" s="2" t="s">
        <v>3573</v>
      </c>
      <c r="C1191" s="3" t="s">
        <v>3574</v>
      </c>
      <c r="D1191" s="3" t="str">
        <f ca="1">IFERROR(__xludf.DUMMYFUNCTION("GOOGLETRANSLATE(A1191,""fr"",""en"")"),"draw")</f>
        <v>draw</v>
      </c>
      <c r="E1191" s="3" t="str">
        <f ca="1">IFERROR(__xludf.DUMMYFUNCTION("GOOGLETRANSLATE(B1191,""fr"",""en"")"),"They draw water from the well.")</f>
        <v>They draw water from the well.</v>
      </c>
    </row>
    <row r="1192" spans="1:5" x14ac:dyDescent="0.25">
      <c r="A1192" s="2" t="s">
        <v>3575</v>
      </c>
      <c r="B1192" s="2" t="s">
        <v>3576</v>
      </c>
      <c r="C1192" s="3" t="s">
        <v>3577</v>
      </c>
      <c r="D1192" s="3" t="str">
        <f ca="1">IFERROR(__xludf.DUMMYFUNCTION("GOOGLETRANSLATE(A1192,""fr"",""en"")"),"to resinate")</f>
        <v>to resinate</v>
      </c>
      <c r="E1192" s="3" t="str">
        <f ca="1">IFERROR(__xludf.DUMMYFUNCTION("GOOGLETRANSLATE(B1192,""fr"",""en"")"),"The wood must be resinated to protect it.")</f>
        <v>The wood must be resinated to protect it.</v>
      </c>
    </row>
    <row r="1193" spans="1:5" x14ac:dyDescent="0.25">
      <c r="A1193" s="2" t="s">
        <v>3578</v>
      </c>
      <c r="B1193" s="2" t="s">
        <v>3579</v>
      </c>
      <c r="C1193" s="3" t="s">
        <v>3580</v>
      </c>
      <c r="D1193" s="3" t="str">
        <f ca="1">IFERROR(__xludf.DUMMYFUNCTION("GOOGLETRANSLATE(A1193,""fr"",""en"")"),"locate")</f>
        <v>locate</v>
      </c>
      <c r="E1193" s="3" t="str">
        <f ca="1">IFERROR(__xludf.DUMMYFUNCTION("GOOGLETRANSLATE(B1193,""fr"",""en"")"),"It places the action in a historical framework.")</f>
        <v>It places the action in a historical framework.</v>
      </c>
    </row>
    <row r="1194" spans="1:5" x14ac:dyDescent="0.25">
      <c r="A1194" s="2" t="s">
        <v>3581</v>
      </c>
      <c r="B1194" s="2" t="s">
        <v>3582</v>
      </c>
      <c r="C1194" s="3" t="s">
        <v>3583</v>
      </c>
      <c r="D1194" s="3" t="str">
        <f ca="1">IFERROR(__xludf.DUMMYFUNCTION("GOOGLETRANSLATE(A1194,""fr"",""en"")"),"decorate")</f>
        <v>decorate</v>
      </c>
      <c r="E1194" s="3" t="str">
        <f ca="1">IFERROR(__xludf.DUMMYFUNCTION("GOOGLETRANSLATE(B1194,""fr"",""en"")"),"They decorate the house for the end of year holidays.")</f>
        <v>They decorate the house for the end of year holidays.</v>
      </c>
    </row>
    <row r="1195" spans="1:5" x14ac:dyDescent="0.25">
      <c r="A1195" s="2" t="s">
        <v>3584</v>
      </c>
      <c r="B1195" s="2" t="s">
        <v>3585</v>
      </c>
      <c r="C1195" s="3" t="s">
        <v>3586</v>
      </c>
      <c r="D1195" s="3" t="str">
        <f ca="1">IFERROR(__xludf.DUMMYFUNCTION("GOOGLETRANSLATE(A1195,""fr"",""en"")"),"tick")</f>
        <v>tick</v>
      </c>
      <c r="E1195" s="3" t="str">
        <f ca="1">IFERROR(__xludf.DUMMYFUNCTION("GOOGLETRANSLATE(B1195,""fr"",""en"")"),"They check the box ""accept the terms and conditions"".")</f>
        <v>They check the box "accept the terms and conditions".</v>
      </c>
    </row>
    <row r="1196" spans="1:5" x14ac:dyDescent="0.25">
      <c r="A1196" s="2" t="s">
        <v>3587</v>
      </c>
      <c r="B1196" s="2" t="s">
        <v>3588</v>
      </c>
      <c r="C1196" s="3" t="s">
        <v>3589</v>
      </c>
      <c r="D1196" s="3" t="str">
        <f ca="1">IFERROR(__xludf.DUMMYFUNCTION("GOOGLETRANSLATE(A1196,""fr"",""en"")"),"regain")</f>
        <v>regain</v>
      </c>
      <c r="E1196" s="3" t="str">
        <f ca="1">IFERROR(__xludf.DUMMYFUNCTION("GOOGLETRANSLATE(B1196,""fr"",""en"")"),"He returns to his room after a long day.")</f>
        <v>He returns to his room after a long day.</v>
      </c>
    </row>
    <row r="1197" spans="1:5" x14ac:dyDescent="0.25">
      <c r="A1197" s="2" t="s">
        <v>3590</v>
      </c>
      <c r="B1197" s="2" t="s">
        <v>3591</v>
      </c>
      <c r="C1197" s="3" t="s">
        <v>3592</v>
      </c>
      <c r="D1197" s="3" t="str">
        <f ca="1">IFERROR(__xludf.DUMMYFUNCTION("GOOGLETRANSLATE(A1197,""fr"",""en"")"),"take off")</f>
        <v>take off</v>
      </c>
      <c r="E1197" s="3" t="str">
        <f ca="1">IFERROR(__xludf.DUMMYFUNCTION("GOOGLETRANSLATE(B1197,""fr"",""en"")"),"She takes off towards Paris.")</f>
        <v>She takes off towards Paris.</v>
      </c>
    </row>
    <row r="1198" spans="1:5" x14ac:dyDescent="0.25">
      <c r="A1198" s="2" t="s">
        <v>3593</v>
      </c>
      <c r="B1198" s="2" t="s">
        <v>3594</v>
      </c>
      <c r="C1198" s="3" t="s">
        <v>3595</v>
      </c>
      <c r="D1198" s="3" t="str">
        <f ca="1">IFERROR(__xludf.DUMMYFUNCTION("GOOGLETRANSLATE(A1198,""fr"",""en"")"),"underfeed")</f>
        <v>underfeed</v>
      </c>
      <c r="E1198" s="3" t="str">
        <f ca="1">IFERROR(__xludf.DUMMYFUNCTION("GOOGLETRANSLATE(B1198,""fr"",""en"")"),"It underpowers the engine to save fuel.")</f>
        <v>It underpowers the engine to save fuel.</v>
      </c>
    </row>
    <row r="1199" spans="1:5" x14ac:dyDescent="0.25">
      <c r="A1199" s="2" t="s">
        <v>3596</v>
      </c>
      <c r="B1199" s="2" t="s">
        <v>3597</v>
      </c>
      <c r="C1199" s="3" t="s">
        <v>3598</v>
      </c>
      <c r="D1199" s="3" t="str">
        <f ca="1">IFERROR(__xludf.DUMMYFUNCTION("GOOGLETRANSLATE(A1199,""fr"",""en"")"),"host")</f>
        <v>host</v>
      </c>
      <c r="E1199" s="3" t="str">
        <f ca="1">IFERROR(__xludf.DUMMYFUNCTION("GOOGLETRANSLATE(B1199,""fr"",""en"")"),"They are hosting refugees in their house.")</f>
        <v>They are hosting refugees in their house.</v>
      </c>
    </row>
    <row r="1200" spans="1:5" x14ac:dyDescent="0.25">
      <c r="A1200" s="2" t="s">
        <v>3599</v>
      </c>
      <c r="B1200" s="2" t="s">
        <v>3600</v>
      </c>
      <c r="C1200" s="3" t="s">
        <v>3601</v>
      </c>
      <c r="D1200" s="3" t="str">
        <f ca="1">IFERROR(__xludf.DUMMYFUNCTION("GOOGLETRANSLATE(A1200,""fr"",""en"")"),"to expand")</f>
        <v>to expand</v>
      </c>
      <c r="E1200" s="3" t="str">
        <f ca="1">IFERROR(__xludf.DUMMYFUNCTION("GOOGLETRANSLATE(B1200,""fr"",""en"")"),"He supports his speech with concrete examples.")</f>
        <v>He supports his speech with concrete examples.</v>
      </c>
    </row>
    <row r="1201" spans="1:5" x14ac:dyDescent="0.25">
      <c r="A1201" s="2" t="s">
        <v>3602</v>
      </c>
      <c r="B1201" s="2" t="s">
        <v>3603</v>
      </c>
      <c r="C1201" s="3" t="s">
        <v>3604</v>
      </c>
      <c r="D1201" s="3" t="str">
        <f ca="1">IFERROR(__xludf.DUMMYFUNCTION("GOOGLETRANSLATE(A1201,""fr"",""en"")"),"cafeteria")</f>
        <v>cafeteria</v>
      </c>
      <c r="E1201" s="3" t="str">
        <f ca="1">IFERROR(__xludf.DUMMYFUNCTION("GOOGLETRANSLATE(B1201,""fr"",""en"")"),"He has coffee with his colleagues during his lunch break.")</f>
        <v>He has coffee with his colleagues during his lunch break.</v>
      </c>
    </row>
    <row r="1202" spans="1:5" x14ac:dyDescent="0.25">
      <c r="A1202" s="2" t="s">
        <v>3605</v>
      </c>
      <c r="B1202" s="2" t="s">
        <v>3606</v>
      </c>
      <c r="C1202" s="3" t="s">
        <v>3607</v>
      </c>
      <c r="D1202" s="3" t="str">
        <f ca="1">IFERROR(__xludf.DUMMYFUNCTION("GOOGLETRANSLATE(A1202,""fr"",""en"")"),"reorient")</f>
        <v>reorient</v>
      </c>
      <c r="E1202" s="3" t="str">
        <f ca="1">IFERROR(__xludf.DUMMYFUNCTION("GOOGLETRANSLATE(B1202,""fr"",""en"")"),"She reoriented her career towards teaching.")</f>
        <v>She reoriented her career towards teaching.</v>
      </c>
    </row>
    <row r="1203" spans="1:5" x14ac:dyDescent="0.25">
      <c r="A1203" s="2" t="s">
        <v>3608</v>
      </c>
      <c r="B1203" s="2" t="s">
        <v>3609</v>
      </c>
      <c r="C1203" s="3" t="s">
        <v>3610</v>
      </c>
      <c r="D1203" s="3" t="str">
        <f ca="1">IFERROR(__xludf.DUMMYFUNCTION("GOOGLETRANSLATE(A1203,""fr"",""en"")"),"stun")</f>
        <v>stun</v>
      </c>
      <c r="E1203" s="3" t="str">
        <f ca="1">IFERROR(__xludf.DUMMYFUNCTION("GOOGLETRANSLATE(B1203,""fr"",""en"")"),"The deafening noise stunned him.")</f>
        <v>The deafening noise stunned him.</v>
      </c>
    </row>
    <row r="1204" spans="1:5" x14ac:dyDescent="0.25">
      <c r="A1204" s="2" t="s">
        <v>3611</v>
      </c>
      <c r="B1204" s="2" t="s">
        <v>3612</v>
      </c>
      <c r="C1204" s="3" t="s">
        <v>3613</v>
      </c>
      <c r="D1204" s="3" t="str">
        <f ca="1">IFERROR(__xludf.DUMMYFUNCTION("GOOGLETRANSLATE(A1204,""fr"",""en"")"),"to notice")</f>
        <v>to notice</v>
      </c>
      <c r="E1204" s="3" t="str">
        <f ca="1">IFERROR(__xludf.DUMMYFUNCTION("GOOGLETRANSLATE(B1204,""fr"",""en"")"),"They see a deer in the forest.")</f>
        <v>They see a deer in the forest.</v>
      </c>
    </row>
    <row r="1205" spans="1:5" x14ac:dyDescent="0.25">
      <c r="A1205" s="2" t="s">
        <v>3614</v>
      </c>
      <c r="B1205" s="2" t="s">
        <v>3615</v>
      </c>
      <c r="C1205" s="3" t="s">
        <v>3616</v>
      </c>
      <c r="D1205" s="3" t="str">
        <f ca="1">IFERROR(__xludf.DUMMYFUNCTION("GOOGLETRANSLATE(A1205,""fr"",""en"")"),"rinse")</f>
        <v>rinse</v>
      </c>
      <c r="E1205" s="3" t="str">
        <f ca="1">IFERROR(__xludf.DUMMYFUNCTION("GOOGLETRANSLATE(B1205,""fr"",""en"")"),"He rinses the dishes after dinner.")</f>
        <v>He rinses the dishes after dinner.</v>
      </c>
    </row>
    <row r="1206" spans="1:5" x14ac:dyDescent="0.25">
      <c r="A1206" s="2" t="s">
        <v>3617</v>
      </c>
      <c r="B1206" s="2" t="s">
        <v>3618</v>
      </c>
      <c r="C1206" s="3" t="s">
        <v>3619</v>
      </c>
      <c r="D1206" s="3" t="str">
        <f ca="1">IFERROR(__xludf.DUMMYFUNCTION("GOOGLETRANSLATE(A1206,""fr"",""en"")"),"recreate")</f>
        <v>recreate</v>
      </c>
      <c r="E1206" s="3" t="str">
        <f ca="1">IFERROR(__xludf.DUMMYFUNCTION("GOOGLETRANSLATE(B1206,""fr"",""en"")"),"They recreate the atmosphere of the 80s in their evening.")</f>
        <v>They recreate the atmosphere of the 80s in their evening.</v>
      </c>
    </row>
    <row r="1207" spans="1:5" x14ac:dyDescent="0.25">
      <c r="A1207" s="2" t="s">
        <v>3620</v>
      </c>
      <c r="B1207" s="2" t="s">
        <v>3621</v>
      </c>
      <c r="C1207" s="3" t="s">
        <v>3622</v>
      </c>
      <c r="D1207" s="3" t="str">
        <f ca="1">IFERROR(__xludf.DUMMYFUNCTION("GOOGLETRANSLATE(A1207,""fr"",""en"")"),"assimilate")</f>
        <v>assimilate</v>
      </c>
      <c r="E1207" s="3" t="str">
        <f ca="1">IFERROR(__xludf.DUMMYFUNCTION("GOOGLETRANSLATE(B1207,""fr"",""en"")"),"She quickly assimilates new information.")</f>
        <v>She quickly assimilates new information.</v>
      </c>
    </row>
    <row r="1208" spans="1:5" x14ac:dyDescent="0.25">
      <c r="A1208" s="2" t="s">
        <v>3623</v>
      </c>
      <c r="B1208" s="2" t="s">
        <v>3624</v>
      </c>
      <c r="C1208" s="3" t="s">
        <v>3625</v>
      </c>
      <c r="D1208" s="3" t="str">
        <f ca="1">IFERROR(__xludf.DUMMYFUNCTION("GOOGLETRANSLATE(A1208,""fr"",""en"")"),"thaw")</f>
        <v>thaw</v>
      </c>
      <c r="E1208" s="3" t="str">
        <f ca="1">IFERROR(__xludf.DUMMYFUNCTION("GOOGLETRANSLATE(B1208,""fr"",""en"")"),"Vegetables must be thawed before cooking.")</f>
        <v>Vegetables must be thawed before cooking.</v>
      </c>
    </row>
    <row r="1209" spans="1:5" x14ac:dyDescent="0.25">
      <c r="A1209" s="2" t="s">
        <v>3626</v>
      </c>
      <c r="B1209" s="2" t="s">
        <v>3627</v>
      </c>
      <c r="C1209" s="3" t="s">
        <v>3628</v>
      </c>
      <c r="D1209" s="3" t="str">
        <f ca="1">IFERROR(__xludf.DUMMYFUNCTION("GOOGLETRANSLATE(A1209,""fr"",""en"")"),"reuse")</f>
        <v>reuse</v>
      </c>
      <c r="E1209" s="3" t="str">
        <f ca="1">IFERROR(__xludf.DUMMYFUNCTION("GOOGLETRANSLATE(B1209,""fr"",""en"")"),"They reuse recyclable materials to build furniture.")</f>
        <v>They reuse recyclable materials to build furniture.</v>
      </c>
    </row>
    <row r="1210" spans="1:5" x14ac:dyDescent="0.25">
      <c r="A1210" s="2" t="s">
        <v>3629</v>
      </c>
      <c r="B1210" s="2" t="s">
        <v>3630</v>
      </c>
      <c r="C1210" s="3" t="s">
        <v>3631</v>
      </c>
      <c r="D1210" s="3" t="str">
        <f ca="1">IFERROR(__xludf.DUMMYFUNCTION("GOOGLETRANSLATE(A1210,""fr"",""en"")"),"animate")</f>
        <v>animate</v>
      </c>
      <c r="E1210" s="3" t="str">
        <f ca="1">IFERROR(__xludf.DUMMYFUNCTION("GOOGLETRANSLATE(B1210,""fr"",""en"")"),"They liven up the meeting with dynamic presentations.")</f>
        <v>They liven up the meeting with dynamic presentations.</v>
      </c>
    </row>
    <row r="1211" spans="1:5" x14ac:dyDescent="0.25">
      <c r="A1211" s="2" t="s">
        <v>3632</v>
      </c>
      <c r="B1211" s="2" t="s">
        <v>3633</v>
      </c>
      <c r="C1211" s="3" t="s">
        <v>3634</v>
      </c>
      <c r="D1211" s="3" t="str">
        <f ca="1">IFERROR(__xludf.DUMMYFUNCTION("GOOGLETRANSLATE(A1211,""fr"",""en"")"),"iron")</f>
        <v>iron</v>
      </c>
      <c r="E1211" s="3" t="str">
        <f ca="1">IFERROR(__xludf.DUMMYFUNCTION("GOOGLETRANSLATE(B1211,""fr"",""en"")"),"She irons her shirts on Sunday afternoons.")</f>
        <v>She irons her shirts on Sunday afternoons.</v>
      </c>
    </row>
    <row r="1212" spans="1:5" x14ac:dyDescent="0.25">
      <c r="A1212" s="2" t="s">
        <v>3635</v>
      </c>
      <c r="B1212" s="2" t="s">
        <v>3636</v>
      </c>
      <c r="C1212" s="3" t="s">
        <v>3637</v>
      </c>
      <c r="D1212" s="3" t="str">
        <f ca="1">IFERROR(__xludf.DUMMYFUNCTION("GOOGLETRANSLATE(A1212,""fr"",""en"")"),"point")</f>
        <v>point</v>
      </c>
      <c r="E1212" s="3" t="str">
        <f ca="1">IFERROR(__xludf.DUMMYFUNCTION("GOOGLETRANSLATE(B1212,""fr"",""en"")"),"He points out the error in the report.")</f>
        <v>He points out the error in the report.</v>
      </c>
    </row>
    <row r="1213" spans="1:5" x14ac:dyDescent="0.25">
      <c r="A1213" s="2" t="s">
        <v>3638</v>
      </c>
      <c r="B1213" s="2" t="s">
        <v>3639</v>
      </c>
      <c r="C1213" s="3" t="s">
        <v>3640</v>
      </c>
      <c r="D1213" s="3" t="str">
        <f ca="1">IFERROR(__xludf.DUMMYFUNCTION("GOOGLETRANSLATE(A1213,""fr"",""en"")"),"to invoice")</f>
        <v>to invoice</v>
      </c>
      <c r="E1213" s="3" t="str">
        <f ca="1">IFERROR(__xludf.DUMMYFUNCTION("GOOGLETRANSLATE(B1213,""fr"",""en"")"),"The store charges him for the items purchased.")</f>
        <v>The store charges him for the items purchased.</v>
      </c>
    </row>
    <row r="1214" spans="1:5" x14ac:dyDescent="0.25">
      <c r="A1214" s="2" t="s">
        <v>3641</v>
      </c>
      <c r="B1214" s="2" t="s">
        <v>3642</v>
      </c>
      <c r="C1214" s="3" t="s">
        <v>3643</v>
      </c>
      <c r="D1214" s="3" t="str">
        <f ca="1">IFERROR(__xludf.DUMMYFUNCTION("GOOGLETRANSLATE(A1214,""fr"",""en"")"),"to mold")</f>
        <v>to mold</v>
      </c>
      <c r="E1214" s="3" t="str">
        <f ca="1">IFERROR(__xludf.DUMMYFUNCTION("GOOGLETRANSLATE(B1214,""fr"",""en"")"),"They will mold the metal to form a unique piece.")</f>
        <v>They will mold the metal to form a unique piece.</v>
      </c>
    </row>
    <row r="1215" spans="1:5" x14ac:dyDescent="0.25">
      <c r="A1215" s="2" t="s">
        <v>3644</v>
      </c>
      <c r="B1215" s="2" t="s">
        <v>3645</v>
      </c>
      <c r="C1215" s="3" t="s">
        <v>3646</v>
      </c>
      <c r="D1215" s="3" t="str">
        <f ca="1">IFERROR(__xludf.DUMMYFUNCTION("GOOGLETRANSLATE(A1215,""fr"",""en"")"),"reorganize")</f>
        <v>reorganize</v>
      </c>
      <c r="E1215" s="3" t="str">
        <f ca="1">IFERROR(__xludf.DUMMYFUNCTION("GOOGLETRANSLATE(B1215,""fr"",""en"")"),"She rearranges her schedule to include more free time.")</f>
        <v>She rearranges her schedule to include more free time.</v>
      </c>
    </row>
    <row r="1216" spans="1:5" x14ac:dyDescent="0.25">
      <c r="A1216" s="2" t="s">
        <v>3647</v>
      </c>
      <c r="B1216" s="2" t="s">
        <v>3648</v>
      </c>
      <c r="C1216" s="3" t="s">
        <v>3649</v>
      </c>
      <c r="D1216" s="3" t="str">
        <f ca="1">IFERROR(__xludf.DUMMYFUNCTION("GOOGLETRANSLATE(A1216,""fr"",""en"")"),"cross")</f>
        <v>cross</v>
      </c>
      <c r="E1216" s="3" t="str">
        <f ca="1">IFERROR(__xludf.DUMMYFUNCTION("GOOGLETRANSLATE(B1216,""fr"",""en"")"),"They often cross paths in the neighborhood.")</f>
        <v>They often cross paths in the neighborhood.</v>
      </c>
    </row>
    <row r="1217" spans="1:5" x14ac:dyDescent="0.25">
      <c r="A1217" s="2" t="s">
        <v>3650</v>
      </c>
      <c r="B1217" s="2" t="s">
        <v>3651</v>
      </c>
      <c r="C1217" s="3" t="s">
        <v>3652</v>
      </c>
      <c r="D1217" s="3" t="str">
        <f ca="1">IFERROR(__xludf.DUMMYFUNCTION("GOOGLETRANSLATE(A1217,""fr"",""en"")"),"subsidize")</f>
        <v>subsidize</v>
      </c>
      <c r="E1217" s="3" t="str">
        <f ca="1">IFERROR(__xludf.DUMMYFUNCTION("GOOGLETRANSLATE(B1217,""fr"",""en"")"),"The government subsidizes research projects.")</f>
        <v>The government subsidizes research projects.</v>
      </c>
    </row>
    <row r="1218" spans="1:5" x14ac:dyDescent="0.25">
      <c r="A1218" s="2" t="s">
        <v>3653</v>
      </c>
      <c r="B1218" s="2" t="s">
        <v>3654</v>
      </c>
      <c r="C1218" s="3" t="s">
        <v>3655</v>
      </c>
      <c r="D1218" s="3" t="str">
        <f ca="1">IFERROR(__xludf.DUMMYFUNCTION("GOOGLETRANSLATE(A1218,""fr"",""en"")"),"to overstep")</f>
        <v>to overstep</v>
      </c>
      <c r="E1218" s="3" t="str">
        <f ca="1">IFERROR(__xludf.DUMMYFUNCTION("GOOGLETRANSLATE(B1218,""fr"",""en"")"),"He goes beyond established rules to achieve his goals.")</f>
        <v>He goes beyond established rules to achieve his goals.</v>
      </c>
    </row>
    <row r="1219" spans="1:5" x14ac:dyDescent="0.25">
      <c r="A1219" s="2" t="s">
        <v>3656</v>
      </c>
      <c r="B1219" s="2" t="s">
        <v>3657</v>
      </c>
      <c r="C1219" s="3" t="s">
        <v>3658</v>
      </c>
      <c r="D1219" s="3" t="str">
        <f ca="1">IFERROR(__xludf.DUMMYFUNCTION("GOOGLETRANSLATE(A1219,""fr"",""en"")"),"challenge")</f>
        <v>challenge</v>
      </c>
      <c r="E1219" s="3" t="str">
        <f ca="1">IFERROR(__xludf.DUMMYFUNCTION("GOOGLETRANSLATE(B1219,""fr"",""en"")"),"She defies expectations by succeeding against all odds.")</f>
        <v>She defies expectations by succeeding against all odds.</v>
      </c>
    </row>
    <row r="1220" spans="1:5" x14ac:dyDescent="0.25">
      <c r="A1220" s="2" t="s">
        <v>3659</v>
      </c>
      <c r="B1220" s="2" t="s">
        <v>3660</v>
      </c>
      <c r="C1220" s="3" t="s">
        <v>3661</v>
      </c>
      <c r="D1220" s="3" t="str">
        <f ca="1">IFERROR(__xludf.DUMMYFUNCTION("GOOGLETRANSLATE(A1220,""fr"",""en"")"),"remove")</f>
        <v>remove</v>
      </c>
      <c r="E1220" s="3" t="str">
        <f ca="1">IFERROR(__xludf.DUMMYFUNCTION("GOOGLETRANSLATE(B1220,""fr"",""en"")"),"He takes off his shoes before entering the house.")</f>
        <v>He takes off his shoes before entering the house.</v>
      </c>
    </row>
    <row r="1221" spans="1:5" x14ac:dyDescent="0.25">
      <c r="A1221" s="2" t="s">
        <v>3662</v>
      </c>
      <c r="B1221" s="2" t="s">
        <v>3663</v>
      </c>
      <c r="C1221" s="3" t="s">
        <v>3664</v>
      </c>
      <c r="D1221" s="3" t="str">
        <f ca="1">IFERROR(__xludf.DUMMYFUNCTION("GOOGLETRANSLATE(A1221,""fr"",""en"")"),"murder")</f>
        <v>murder</v>
      </c>
      <c r="E1221" s="3" t="str">
        <f ca="1">IFERROR(__xludf.DUMMYFUNCTION("GOOGLETRANSLATE(B1221,""fr"",""en"")"),"The crime appears to be premeditated murder.")</f>
        <v>The crime appears to be premeditated murder.</v>
      </c>
    </row>
    <row r="1222" spans="1:5" x14ac:dyDescent="0.25">
      <c r="A1222" s="2" t="s">
        <v>3665</v>
      </c>
      <c r="B1222" s="2" t="s">
        <v>3666</v>
      </c>
      <c r="C1222" s="3" t="s">
        <v>3667</v>
      </c>
      <c r="D1222" s="3" t="str">
        <f ca="1">IFERROR(__xludf.DUMMYFUNCTION("GOOGLETRANSLATE(A1222,""fr"",""en"")"),"deserve")</f>
        <v>deserve</v>
      </c>
      <c r="E1222" s="3" t="str">
        <f ca="1">IFERROR(__xludf.DUMMYFUNCTION("GOOGLETRANSLATE(B1222,""fr"",""en"")"),"She deserves a reward for her efforts.")</f>
        <v>She deserves a reward for her efforts.</v>
      </c>
    </row>
    <row r="1223" spans="1:5" x14ac:dyDescent="0.25">
      <c r="A1223" s="2" t="s">
        <v>3668</v>
      </c>
      <c r="B1223" s="2" t="s">
        <v>3669</v>
      </c>
      <c r="C1223" s="3" t="s">
        <v>3670</v>
      </c>
      <c r="D1223" s="3" t="str">
        <f ca="1">IFERROR(__xludf.DUMMYFUNCTION("GOOGLETRANSLATE(A1223,""fr"",""en"")"),"freeze")</f>
        <v>freeze</v>
      </c>
      <c r="E1223" s="3" t="str">
        <f ca="1">IFERROR(__xludf.DUMMYFUNCTION("GOOGLETRANSLATE(B1223,""fr"",""en"")"),"Water freezes in winter.")</f>
        <v>Water freezes in winter.</v>
      </c>
    </row>
    <row r="1224" spans="1:5" x14ac:dyDescent="0.25">
      <c r="A1224" s="2" t="s">
        <v>3671</v>
      </c>
      <c r="B1224" s="2" t="s">
        <v>3672</v>
      </c>
      <c r="C1224" s="3" t="s">
        <v>3673</v>
      </c>
      <c r="D1224" s="3" t="str">
        <f ca="1">IFERROR(__xludf.DUMMYFUNCTION("GOOGLETRANSLATE(A1224,""fr"",""en"")"),"disassemble")</f>
        <v>disassemble</v>
      </c>
      <c r="E1224" s="3" t="str">
        <f ca="1">IFERROR(__xludf.DUMMYFUNCTION("GOOGLETRANSLATE(B1224,""fr"",""en"")"),"They take the old machine apart to repair it.")</f>
        <v>They take the old machine apart to repair it.</v>
      </c>
    </row>
    <row r="1225" spans="1:5" x14ac:dyDescent="0.25">
      <c r="A1225" s="2" t="s">
        <v>3674</v>
      </c>
      <c r="B1225" s="2" t="s">
        <v>3675</v>
      </c>
      <c r="C1225" s="3" t="s">
        <v>3676</v>
      </c>
      <c r="D1225" s="3" t="str">
        <f ca="1">IFERROR(__xludf.DUMMYFUNCTION("GOOGLETRANSLATE(A1225,""fr"",""en"")"),"interfere")</f>
        <v>interfere</v>
      </c>
      <c r="E1225" s="3" t="str">
        <f ca="1">IFERROR(__xludf.DUMMYFUNCTION("GOOGLETRANSLATE(B1225,""fr"",""en"")"),"Don't let emotions interfere with your judgment.")</f>
        <v>Don't let emotions interfere with your judgment.</v>
      </c>
    </row>
    <row r="1226" spans="1:5" x14ac:dyDescent="0.25">
      <c r="A1226" s="2" t="s">
        <v>3677</v>
      </c>
      <c r="B1226" s="2" t="s">
        <v>3678</v>
      </c>
      <c r="C1226" s="3" t="s">
        <v>3679</v>
      </c>
      <c r="D1226" s="3" t="str">
        <f ca="1">IFERROR(__xludf.DUMMYFUNCTION("GOOGLETRANSLATE(A1226,""fr"",""en"")"),"to amortize")</f>
        <v>to amortize</v>
      </c>
      <c r="E1226" s="3" t="str">
        <f ca="1">IFERROR(__xludf.DUMMYFUNCTION("GOOGLETRANSLATE(B1226,""fr"",""en"")"),"It absorbs the shock as it falls onto the carpet.")</f>
        <v>It absorbs the shock as it falls onto the carpet.</v>
      </c>
    </row>
    <row r="1227" spans="1:5" x14ac:dyDescent="0.25">
      <c r="A1227" s="2" t="s">
        <v>3680</v>
      </c>
      <c r="B1227" s="2" t="s">
        <v>3681</v>
      </c>
      <c r="C1227" s="3" t="s">
        <v>3682</v>
      </c>
      <c r="D1227" s="3" t="str">
        <f ca="1">IFERROR(__xludf.DUMMYFUNCTION("GOOGLETRANSLATE(A1227,""fr"",""en"")"),"look like")</f>
        <v>look like</v>
      </c>
      <c r="E1227" s="3" t="str">
        <f ca="1">IFERROR(__xludf.DUMMYFUNCTION("GOOGLETRANSLATE(B1227,""fr"",""en"")"),"She looks a lot like her twin sister.")</f>
        <v>She looks a lot like her twin sister.</v>
      </c>
    </row>
    <row r="1228" spans="1:5" x14ac:dyDescent="0.25">
      <c r="A1228" s="2" t="s">
        <v>3683</v>
      </c>
      <c r="B1228" s="2" t="s">
        <v>3684</v>
      </c>
      <c r="C1228" s="3" t="s">
        <v>3685</v>
      </c>
      <c r="D1228" s="3" t="str">
        <f ca="1">IFERROR(__xludf.DUMMYFUNCTION("GOOGLETRANSLATE(A1228,""fr"",""en"")"),"commemorate")</f>
        <v>commemorate</v>
      </c>
      <c r="E1228" s="3" t="str">
        <f ca="1">IFERROR(__xludf.DUMMYFUNCTION("GOOGLETRANSLATE(B1228,""fr"",""en"")"),"We commemorate National Remembrance Day.")</f>
        <v>We commemorate National Remembrance Day.</v>
      </c>
    </row>
    <row r="1229" spans="1:5" x14ac:dyDescent="0.25">
      <c r="A1229" s="2" t="s">
        <v>3686</v>
      </c>
      <c r="B1229" s="2" t="s">
        <v>3687</v>
      </c>
      <c r="C1229" s="3" t="s">
        <v>3688</v>
      </c>
      <c r="D1229" s="3" t="str">
        <f ca="1">IFERROR(__xludf.DUMMYFUNCTION("GOOGLETRANSLATE(A1229,""fr"",""en"")"),"distract")</f>
        <v>distract</v>
      </c>
      <c r="E1229" s="3" t="str">
        <f ca="1">IFERROR(__xludf.DUMMYFUNCTION("GOOGLETRANSLATE(B1229,""fr"",""en"")"),"The show entertained the children for hours.")</f>
        <v>The show entertained the children for hours.</v>
      </c>
    </row>
    <row r="1230" spans="1:5" x14ac:dyDescent="0.25">
      <c r="A1230" s="2" t="s">
        <v>3689</v>
      </c>
      <c r="B1230" s="2" t="s">
        <v>3690</v>
      </c>
      <c r="C1230" s="3" t="s">
        <v>3691</v>
      </c>
      <c r="D1230" s="3" t="str">
        <f ca="1">IFERROR(__xludf.DUMMYFUNCTION("GOOGLETRANSLATE(A1230,""fr"",""en"")"),"substitute")</f>
        <v>substitute</v>
      </c>
      <c r="E1230" s="3" t="str">
        <f ca="1">IFERROR(__xludf.DUMMYFUNCTION("GOOGLETRANSLATE(B1230,""fr"",""en"")"),"They substitute honey for sugar in the recipe.")</f>
        <v>They substitute honey for sugar in the recipe.</v>
      </c>
    </row>
    <row r="1231" spans="1:5" x14ac:dyDescent="0.25">
      <c r="A1231" s="2" t="s">
        <v>3692</v>
      </c>
      <c r="B1231" s="2" t="s">
        <v>3693</v>
      </c>
      <c r="C1231" s="3" t="s">
        <v>3694</v>
      </c>
      <c r="D1231" s="3" t="str">
        <f ca="1">IFERROR(__xludf.DUMMYFUNCTION("GOOGLETRANSLATE(A1231,""fr"",""en"")"),"undo")</f>
        <v>undo</v>
      </c>
      <c r="E1231" s="3" t="str">
        <f ca="1">IFERROR(__xludf.DUMMYFUNCTION("GOOGLETRANSLATE(B1231,""fr"",""en"")"),"He undoes the knot to release the bundle.")</f>
        <v>He undoes the knot to release the bundle.</v>
      </c>
    </row>
    <row r="1232" spans="1:5" x14ac:dyDescent="0.25">
      <c r="A1232" s="2" t="s">
        <v>3695</v>
      </c>
      <c r="B1232" s="2" t="s">
        <v>3696</v>
      </c>
      <c r="C1232" s="3" t="s">
        <v>3697</v>
      </c>
      <c r="D1232" s="3" t="str">
        <f ca="1">IFERROR(__xludf.DUMMYFUNCTION("GOOGLETRANSLATE(A1232,""fr"",""en"")"),"pinch")</f>
        <v>pinch</v>
      </c>
      <c r="E1232" s="3" t="str">
        <f ca="1">IFERROR(__xludf.DUMMYFUNCTION("GOOGLETRANSLATE(B1232,""fr"",""en"")"),"She pinches the baby to check if he is awake.")</f>
        <v>She pinches the baby to check if he is awake.</v>
      </c>
    </row>
    <row r="1233" spans="1:5" x14ac:dyDescent="0.25">
      <c r="A1233" s="2" t="s">
        <v>3698</v>
      </c>
      <c r="B1233" s="2" t="s">
        <v>3699</v>
      </c>
      <c r="C1233" s="3" t="s">
        <v>3700</v>
      </c>
      <c r="D1233" s="3" t="str">
        <f ca="1">IFERROR(__xludf.DUMMYFUNCTION("GOOGLETRANSLATE(A1233,""fr"",""en"")"),"claim")</f>
        <v>claim</v>
      </c>
      <c r="E1233" s="3" t="str">
        <f ca="1">IFERROR(__xludf.DUMMYFUNCTION("GOOGLETRANSLATE(B1233,""fr"",""en"")"),"They are claiming their rights in court.")</f>
        <v>They are claiming their rights in court.</v>
      </c>
    </row>
    <row r="1234" spans="1:5" x14ac:dyDescent="0.25">
      <c r="A1234" s="2" t="s">
        <v>3701</v>
      </c>
      <c r="B1234" s="2" t="s">
        <v>3702</v>
      </c>
      <c r="C1234" s="3" t="s">
        <v>3703</v>
      </c>
      <c r="D1234" s="3" t="str">
        <f ca="1">IFERROR(__xludf.DUMMYFUNCTION("GOOGLETRANSLATE(A1234,""fr"",""en"")"),"revoke")</f>
        <v>revoke</v>
      </c>
      <c r="E1234" s="3" t="str">
        <f ca="1">IFERROR(__xludf.DUMMYFUNCTION("GOOGLETRANSLATE(B1234,""fr"",""en"")"),"The government revokes the company's license.")</f>
        <v>The government revokes the company's license.</v>
      </c>
    </row>
    <row r="1235" spans="1:5" x14ac:dyDescent="0.25">
      <c r="A1235" s="2" t="s">
        <v>3704</v>
      </c>
      <c r="B1235" s="2" t="s">
        <v>3705</v>
      </c>
      <c r="C1235" s="3" t="s">
        <v>3706</v>
      </c>
      <c r="D1235" s="3" t="str">
        <f ca="1">IFERROR(__xludf.DUMMYFUNCTION("GOOGLETRANSLATE(A1235,""fr"",""en"")"),"familiarize")</f>
        <v>familiarize</v>
      </c>
      <c r="E1235" s="3" t="str">
        <f ca="1">IFERROR(__xludf.DUMMYFUNCTION("GOOGLETRANSLATE(B1235,""fr"",""en"")"),"He familiarizes new employees with the procedures.")</f>
        <v>He familiarizes new employees with the procedures.</v>
      </c>
    </row>
    <row r="1236" spans="1:5" x14ac:dyDescent="0.25">
      <c r="A1236" s="2" t="s">
        <v>3707</v>
      </c>
      <c r="B1236" s="2" t="s">
        <v>3708</v>
      </c>
      <c r="C1236" s="3" t="s">
        <v>3709</v>
      </c>
      <c r="D1236" s="3" t="str">
        <f ca="1">IFERROR(__xludf.DUMMYFUNCTION("GOOGLETRANSLATE(A1236,""fr"",""en"")"),"worship")</f>
        <v>worship</v>
      </c>
      <c r="E1236" s="3" t="str">
        <f ca="1">IFERROR(__xludf.DUMMYFUNCTION("GOOGLETRANSLATE(B1236,""fr"",""en"")"),"She loves spending time reading.")</f>
        <v>She loves spending time reading.</v>
      </c>
    </row>
    <row r="1237" spans="1:5" x14ac:dyDescent="0.25">
      <c r="A1237" s="2" t="s">
        <v>3710</v>
      </c>
      <c r="B1237" s="2" t="s">
        <v>3711</v>
      </c>
      <c r="C1237" s="3" t="s">
        <v>3712</v>
      </c>
      <c r="D1237" s="3" t="str">
        <f ca="1">IFERROR(__xludf.DUMMYFUNCTION("GOOGLETRANSLATE(A1237,""fr"",""en"")"),"fuck")</f>
        <v>fuck</v>
      </c>
      <c r="E1237" s="3" t="str">
        <f ca="1">IFERROR(__xludf.DUMMYFUNCTION("GOOGLETRANSLATE(B1237,""fr"",""en"")"),"You have to put on the fire to roast the marshmallows.")</f>
        <v>You have to put on the fire to roast the marshmallows.</v>
      </c>
    </row>
    <row r="1238" spans="1:5" x14ac:dyDescent="0.25">
      <c r="A1238" s="2" t="s">
        <v>3713</v>
      </c>
      <c r="B1238" s="2" t="s">
        <v>3714</v>
      </c>
      <c r="C1238" s="3" t="s">
        <v>3715</v>
      </c>
      <c r="D1238" s="3" t="str">
        <f ca="1">IFERROR(__xludf.DUMMYFUNCTION("GOOGLETRANSLATE(A1238,""fr"",""en"")"),"renovate")</f>
        <v>renovate</v>
      </c>
      <c r="E1238" s="3" t="str">
        <f ca="1">IFERROR(__xludf.DUMMYFUNCTION("GOOGLETRANSLATE(B1238,""fr"",""en"")"),"They are renovating the house before putting it up for sale.")</f>
        <v>They are renovating the house before putting it up for sale.</v>
      </c>
    </row>
    <row r="1239" spans="1:5" x14ac:dyDescent="0.25">
      <c r="A1239" s="2" t="s">
        <v>3716</v>
      </c>
      <c r="B1239" s="2" t="s">
        <v>3717</v>
      </c>
      <c r="C1239" s="3" t="s">
        <v>3718</v>
      </c>
      <c r="D1239" s="3" t="str">
        <f ca="1">IFERROR(__xludf.DUMMYFUNCTION("GOOGLETRANSLATE(A1239,""fr"",""en"")"),"fart")</f>
        <v>fart</v>
      </c>
      <c r="E1239" s="3" t="str">
        <f ca="1">IFERROR(__xludf.DUMMYFUNCTION("GOOGLETRANSLATE(B1239,""fr"",""en"")"),"The balloon burst when it was overinflated.")</f>
        <v>The balloon burst when it was overinflated.</v>
      </c>
    </row>
    <row r="1240" spans="1:5" x14ac:dyDescent="0.25">
      <c r="A1240" s="2" t="s">
        <v>3719</v>
      </c>
      <c r="B1240" s="2" t="s">
        <v>3720</v>
      </c>
      <c r="C1240" s="3" t="s">
        <v>3721</v>
      </c>
      <c r="D1240" s="3" t="str">
        <f ca="1">IFERROR(__xludf.DUMMYFUNCTION("GOOGLETRANSLATE(A1240,""fr"",""en"")"),"intimidate")</f>
        <v>intimidate</v>
      </c>
      <c r="E1240" s="3" t="str">
        <f ca="1">IFERROR(__xludf.DUMMYFUNCTION("GOOGLETRANSLATE(B1240,""fr"",""en"")"),"You should not let bullying affect you.")</f>
        <v>You should not let bullying affect you.</v>
      </c>
    </row>
    <row r="1241" spans="1:5" x14ac:dyDescent="0.25">
      <c r="A1241" s="2" t="s">
        <v>3722</v>
      </c>
      <c r="B1241" s="2" t="s">
        <v>3723</v>
      </c>
      <c r="C1241" s="3" t="s">
        <v>3724</v>
      </c>
      <c r="D1241" s="3" t="str">
        <f ca="1">IFERROR(__xludf.DUMMYFUNCTION("GOOGLETRANSLATE(A1241,""fr"",""en"")"),"relive")</f>
        <v>relive</v>
      </c>
      <c r="E1241" s="3" t="str">
        <f ca="1">IFERROR(__xludf.DUMMYFUNCTION("GOOGLETRANSLATE(B1241,""fr"",""en"")"),"They relive their youth by dancing the night away.")</f>
        <v>They relive their youth by dancing the night away.</v>
      </c>
    </row>
    <row r="1242" spans="1:5" x14ac:dyDescent="0.25">
      <c r="A1242" s="2" t="s">
        <v>3725</v>
      </c>
      <c r="B1242" s="2" t="s">
        <v>3726</v>
      </c>
      <c r="C1242" s="3" t="s">
        <v>3727</v>
      </c>
      <c r="D1242" s="3" t="str">
        <f ca="1">IFERROR(__xludf.DUMMYFUNCTION("GOOGLETRANSLATE(A1242,""fr"",""en"")"),"park")</f>
        <v>park</v>
      </c>
      <c r="E1242" s="3" t="str">
        <f ca="1">IFERROR(__xludf.DUMMYFUNCTION("GOOGLETRANSLATE(B1242,""fr"",""en"")"),"He parks his car in the underground parking lot.")</f>
        <v>He parks his car in the underground parking lot.</v>
      </c>
    </row>
    <row r="1243" spans="1:5" x14ac:dyDescent="0.25">
      <c r="A1243" s="2" t="s">
        <v>3728</v>
      </c>
      <c r="B1243" s="2" t="s">
        <v>3729</v>
      </c>
      <c r="C1243" s="3" t="s">
        <v>3730</v>
      </c>
      <c r="D1243" s="3" t="str">
        <f ca="1">IFERROR(__xludf.DUMMYFUNCTION("GOOGLETRANSLATE(A1243,""fr"",""en"")"),"compete")</f>
        <v>compete</v>
      </c>
      <c r="E1243" s="3" t="str">
        <f ca="1">IFERROR(__xludf.DUMMYFUNCTION("GOOGLETRANSLATE(B1243,""fr"",""en"")"),"They compete with their rivals in the international market.")</f>
        <v>They compete with their rivals in the international market.</v>
      </c>
    </row>
    <row r="1244" spans="1:5" x14ac:dyDescent="0.25">
      <c r="A1244" s="2" t="s">
        <v>3731</v>
      </c>
      <c r="B1244" s="2" t="s">
        <v>3732</v>
      </c>
      <c r="C1244" s="3" t="s">
        <v>3733</v>
      </c>
      <c r="D1244" s="3" t="str">
        <f ca="1">IFERROR(__xludf.DUMMYFUNCTION("GOOGLETRANSLATE(A1244,""fr"",""en"")"),"restart")</f>
        <v>restart</v>
      </c>
      <c r="E1244" s="3" t="str">
        <f ca="1">IFERROR(__xludf.DUMMYFUNCTION("GOOGLETRANSLATE(B1244,""fr"",""en"")"),"The system will reboot after the update.")</f>
        <v>The system will reboot after the update.</v>
      </c>
    </row>
    <row r="1245" spans="1:5" x14ac:dyDescent="0.25">
      <c r="A1245" s="2" t="s">
        <v>3734</v>
      </c>
      <c r="B1245" s="2" t="s">
        <v>3735</v>
      </c>
      <c r="C1245" s="3" t="s">
        <v>3736</v>
      </c>
      <c r="D1245" s="3" t="str">
        <f ca="1">IFERROR(__xludf.DUMMYFUNCTION("GOOGLETRANSLATE(A1245,""fr"",""en"")"),"annoy")</f>
        <v>annoy</v>
      </c>
      <c r="E1245" s="3" t="str">
        <f ca="1">IFERROR(__xludf.DUMMYFUNCTION("GOOGLETRANSLATE(B1245,""fr"",""en"")"),"She's bored to death during the meeting.")</f>
        <v>She's bored to death during the meeting.</v>
      </c>
    </row>
    <row r="1246" spans="1:5" x14ac:dyDescent="0.25">
      <c r="A1246" s="2" t="s">
        <v>3737</v>
      </c>
      <c r="B1246" s="2" t="s">
        <v>3738</v>
      </c>
      <c r="C1246" s="3" t="s">
        <v>3739</v>
      </c>
      <c r="D1246" s="3" t="str">
        <f ca="1">IFERROR(__xludf.DUMMYFUNCTION("GOOGLETRANSLATE(A1246,""fr"",""en"")"),"proletarianize")</f>
        <v>proletarianize</v>
      </c>
      <c r="E1246" s="3" t="str">
        <f ca="1">IFERROR(__xludf.DUMMYFUNCTION("GOOGLETRANSLATE(B1246,""fr"",""en"")"),"They proletarianize the working class for better representation.")</f>
        <v>They proletarianize the working class for better representation.</v>
      </c>
    </row>
    <row r="1247" spans="1:5" x14ac:dyDescent="0.25">
      <c r="A1247" s="2" t="s">
        <v>3740</v>
      </c>
      <c r="B1247" s="2" t="s">
        <v>3741</v>
      </c>
      <c r="C1247" s="3" t="s">
        <v>3742</v>
      </c>
      <c r="D1247" s="3" t="str">
        <f ca="1">IFERROR(__xludf.DUMMYFUNCTION("GOOGLETRANSLATE(A1247,""fr"",""en"")"),"to annihilate")</f>
        <v>to annihilate</v>
      </c>
      <c r="E1247" s="3" t="str">
        <f ca="1">IFERROR(__xludf.DUMMYFUNCTION("GOOGLETRANSLATE(B1247,""fr"",""en"")"),"He shatters the dreams of his opponents.")</f>
        <v>He shatters the dreams of his opponents.</v>
      </c>
    </row>
    <row r="1248" spans="1:5" x14ac:dyDescent="0.25">
      <c r="A1248" s="2" t="s">
        <v>3743</v>
      </c>
      <c r="B1248" s="2" t="s">
        <v>3744</v>
      </c>
      <c r="C1248" s="3" t="s">
        <v>3745</v>
      </c>
      <c r="D1248" s="3" t="str">
        <f ca="1">IFERROR(__xludf.DUMMYFUNCTION("GOOGLETRANSLATE(A1248,""fr"",""en"")"),"to waste")</f>
        <v>to waste</v>
      </c>
      <c r="E1248" s="3" t="str">
        <f ca="1">IFERROR(__xludf.DUMMYFUNCTION("GOOGLETRANSLATE(B1248,""fr"",""en"")"),"They waste too much water by leaving the tap running.")</f>
        <v>They waste too much water by leaving the tap running.</v>
      </c>
    </row>
    <row r="1249" spans="1:5" x14ac:dyDescent="0.25">
      <c r="A1249" s="2" t="s">
        <v>3746</v>
      </c>
      <c r="B1249" s="2" t="s">
        <v>3747</v>
      </c>
      <c r="C1249" s="3" t="s">
        <v>3748</v>
      </c>
      <c r="D1249" s="3" t="str">
        <f ca="1">IFERROR(__xludf.DUMMYFUNCTION("GOOGLETRANSLATE(A1249,""fr"",""en"")"),"shine")</f>
        <v>shine</v>
      </c>
      <c r="E1249" s="3" t="str">
        <f ca="1">IFERROR(__xludf.DUMMYFUNCTION("GOOGLETRANSLATE(B1249,""fr"",""en"")"),"The sun shines high in the summer sky.")</f>
        <v>The sun shines high in the summer sky.</v>
      </c>
    </row>
    <row r="1250" spans="1:5" x14ac:dyDescent="0.25">
      <c r="A1250" s="2" t="s">
        <v>3749</v>
      </c>
      <c r="B1250" s="2" t="s">
        <v>3750</v>
      </c>
      <c r="C1250" s="3" t="s">
        <v>3751</v>
      </c>
      <c r="D1250" s="3" t="str">
        <f ca="1">IFERROR(__xludf.DUMMYFUNCTION("GOOGLETRANSLATE(A1250,""fr"",""en"")"),"swing")</f>
        <v>swing</v>
      </c>
      <c r="E1250" s="3" t="str">
        <f ca="1">IFERROR(__xludf.DUMMYFUNCTION("GOOGLETRANSLATE(B1250,""fr"",""en"")"),"She swings her legs from the top of the wall.")</f>
        <v>She swings her legs from the top of the wall.</v>
      </c>
    </row>
    <row r="1251" spans="1:5" x14ac:dyDescent="0.25">
      <c r="A1251" s="2" t="s">
        <v>3752</v>
      </c>
      <c r="B1251" s="2" t="s">
        <v>3753</v>
      </c>
      <c r="C1251" s="3" t="s">
        <v>3754</v>
      </c>
      <c r="D1251" s="3" t="str">
        <f ca="1">IFERROR(__xludf.DUMMYFUNCTION("GOOGLETRANSLATE(A1251,""fr"",""en"")"),"to thwart")</f>
        <v>to thwart</v>
      </c>
      <c r="E1251" s="3" t="str">
        <f ca="1">IFERROR(__xludf.DUMMYFUNCTION("GOOGLETRANSLATE(B1251,""fr"",""en"")"),"They thwart the plans of their enemies.")</f>
        <v>They thwart the plans of their enemies.</v>
      </c>
    </row>
    <row r="1252" spans="1:5" x14ac:dyDescent="0.25">
      <c r="A1252" s="2" t="s">
        <v>3755</v>
      </c>
      <c r="B1252" s="2" t="s">
        <v>3756</v>
      </c>
      <c r="C1252" s="3" t="s">
        <v>3757</v>
      </c>
      <c r="D1252" s="3" t="str">
        <f ca="1">IFERROR(__xludf.DUMMYFUNCTION("GOOGLETRANSLATE(A1252,""fr"",""en"")"),"worry")</f>
        <v>worry</v>
      </c>
      <c r="E1252" s="3" t="str">
        <f ca="1">IFERROR(__xludf.DUMMYFUNCTION("GOOGLETRANSLATE(B1252,""fr"",""en"")"),"Don't worry about what other people think.")</f>
        <v>Don't worry about what other people think.</v>
      </c>
    </row>
    <row r="1253" spans="1:5" x14ac:dyDescent="0.25">
      <c r="A1253" s="2" t="s">
        <v>3758</v>
      </c>
      <c r="B1253" s="2" t="s">
        <v>3759</v>
      </c>
      <c r="C1253" s="3" t="s">
        <v>3760</v>
      </c>
      <c r="D1253" s="3" t="str">
        <f ca="1">IFERROR(__xludf.DUMMYFUNCTION("GOOGLETRANSLATE(A1253,""fr"",""en"")"),"trace")</f>
        <v>trace</v>
      </c>
      <c r="E1253" s="3" t="str">
        <f ca="1">IFERROR(__xludf.DUMMYFUNCTION("GOOGLETRANSLATE(B1253,""fr"",""en"")"),"It traces the history of ancient civilization.")</f>
        <v>It traces the history of ancient civilization.</v>
      </c>
    </row>
    <row r="1254" spans="1:5" x14ac:dyDescent="0.25">
      <c r="A1254" s="2" t="s">
        <v>3761</v>
      </c>
      <c r="B1254" s="2" t="s">
        <v>3762</v>
      </c>
      <c r="C1254" s="3" t="s">
        <v>3763</v>
      </c>
      <c r="D1254" s="3" t="str">
        <f ca="1">IFERROR(__xludf.DUMMYFUNCTION("GOOGLETRANSLATE(A1254,""fr"",""en"")"),"dealer")</f>
        <v>dealer</v>
      </c>
      <c r="E1254" s="3" t="str">
        <f ca="1">IFERROR(__xludf.DUMMYFUNCTION("GOOGLETRANSLATE(B1254,""fr"",""en"")"),"They deal cards during the poker game.")</f>
        <v>They deal cards during the poker game.</v>
      </c>
    </row>
    <row r="1255" spans="1:5" x14ac:dyDescent="0.25">
      <c r="A1255" s="2" t="s">
        <v>3764</v>
      </c>
      <c r="B1255" s="2" t="s">
        <v>3765</v>
      </c>
      <c r="C1255" s="3" t="s">
        <v>3766</v>
      </c>
      <c r="D1255" s="3" t="str">
        <f ca="1">IFERROR(__xludf.DUMMYFUNCTION("GOOGLETRANSLATE(A1255,""fr"",""en"")"),"notch")</f>
        <v>notch</v>
      </c>
      <c r="E1255" s="3" t="str">
        <f ca="1">IFERROR(__xludf.DUMMYFUNCTION("GOOGLETRANSLATE(B1255,""fr"",""en"")"),"He fears he will crack under pressure.")</f>
        <v>He fears he will crack under pressure.</v>
      </c>
    </row>
    <row r="1256" spans="1:5" x14ac:dyDescent="0.25">
      <c r="A1256" s="2" t="s">
        <v>3767</v>
      </c>
      <c r="B1256" s="2" t="s">
        <v>3768</v>
      </c>
      <c r="C1256" s="3" t="s">
        <v>3769</v>
      </c>
      <c r="D1256" s="3" t="str">
        <f ca="1">IFERROR(__xludf.DUMMYFUNCTION("GOOGLETRANSLATE(A1256,""fr"",""en"")"),"synthesize")</f>
        <v>synthesize</v>
      </c>
      <c r="E1256" s="3" t="str">
        <f ca="1">IFERROR(__xludf.DUMMYFUNCTION("GOOGLETRANSLATE(B1256,""fr"",""en"")"),"She synthesizes the information for the final report.")</f>
        <v>She synthesizes the information for the final report.</v>
      </c>
    </row>
    <row r="1257" spans="1:5" x14ac:dyDescent="0.25">
      <c r="A1257" s="2" t="s">
        <v>3770</v>
      </c>
      <c r="B1257" s="2" t="s">
        <v>3771</v>
      </c>
      <c r="C1257" s="3" t="s">
        <v>3772</v>
      </c>
      <c r="D1257" s="3" t="str">
        <f ca="1">IFERROR(__xludf.DUMMYFUNCTION("GOOGLETRANSLATE(A1257,""fr"",""en"")"),"focus")</f>
        <v>focus</v>
      </c>
      <c r="E1257" s="3" t="str">
        <f ca="1">IFERROR(__xludf.DUMMYFUNCTION("GOOGLETRANSLATE(B1257,""fr"",""en"")"),"They focus on short-term goals.")</f>
        <v>They focus on short-term goals.</v>
      </c>
    </row>
    <row r="1258" spans="1:5" x14ac:dyDescent="0.25">
      <c r="A1258" s="2" t="s">
        <v>3773</v>
      </c>
      <c r="B1258" s="2" t="s">
        <v>3774</v>
      </c>
      <c r="C1258" s="3" t="s">
        <v>3775</v>
      </c>
      <c r="D1258" s="3" t="str">
        <f ca="1">IFERROR(__xludf.DUMMYFUNCTION("GOOGLETRANSLATE(A1258,""fr"",""en"")"),"to erase")</f>
        <v>to erase</v>
      </c>
      <c r="E1258" s="3" t="str">
        <f ca="1">IFERROR(__xludf.DUMMYFUNCTION("GOOGLETRANSLATE(B1258,""fr"",""en"")"),"It flattens the dough so that it rises properly.")</f>
        <v>It flattens the dough so that it rises properly.</v>
      </c>
    </row>
    <row r="1259" spans="1:5" x14ac:dyDescent="0.25">
      <c r="A1259" s="2" t="s">
        <v>3776</v>
      </c>
      <c r="B1259" s="2" t="s">
        <v>3777</v>
      </c>
      <c r="C1259" s="3" t="s">
        <v>3778</v>
      </c>
      <c r="D1259" s="3" t="str">
        <f ca="1">IFERROR(__xludf.DUMMYFUNCTION("GOOGLETRANSLATE(A1259,""fr"",""en"")"),"intercept")</f>
        <v>intercept</v>
      </c>
      <c r="E1259" s="3" t="str">
        <f ca="1">IFERROR(__xludf.DUMMYFUNCTION("GOOGLETRANSLATE(B1259,""fr"",""en"")"),"He intercepts the ball before it reaches the basket.")</f>
        <v>He intercepts the ball before it reaches the basket.</v>
      </c>
    </row>
    <row r="1260" spans="1:5" x14ac:dyDescent="0.25">
      <c r="A1260" s="2" t="s">
        <v>3779</v>
      </c>
      <c r="B1260" s="2" t="s">
        <v>3780</v>
      </c>
      <c r="C1260" s="3" t="s">
        <v>3781</v>
      </c>
      <c r="D1260" s="3" t="str">
        <f ca="1">IFERROR(__xludf.DUMMYFUNCTION("GOOGLETRANSLATE(A1260,""fr"",""en"")"),"cash in")</f>
        <v>cash in</v>
      </c>
      <c r="E1260" s="3" t="str">
        <f ca="1">IFERROR(__xludf.DUMMYFUNCTION("GOOGLETRANSLATE(B1260,""fr"",""en"")"),"She cashes the checks at the end of the month.")</f>
        <v>She cashes the checks at the end of the month.</v>
      </c>
    </row>
    <row r="1261" spans="1:5" x14ac:dyDescent="0.25">
      <c r="A1261" s="2" t="s">
        <v>3782</v>
      </c>
      <c r="B1261" s="2" t="s">
        <v>3783</v>
      </c>
      <c r="C1261" s="3" t="s">
        <v>3784</v>
      </c>
      <c r="D1261" s="3" t="str">
        <f ca="1">IFERROR(__xludf.DUMMYFUNCTION("GOOGLETRANSLATE(A1261,""fr"",""en"")"),"divorce")</f>
        <v>divorce</v>
      </c>
      <c r="E1261" s="3" t="str">
        <f ca="1">IFERROR(__xludf.DUMMYFUNCTION("GOOGLETRANSLATE(B1261,""fr"",""en"")"),"They divorced after ten years of marriage.")</f>
        <v>They divorced after ten years of marriage.</v>
      </c>
    </row>
    <row r="1262" spans="1:5" x14ac:dyDescent="0.25">
      <c r="A1262" s="2" t="s">
        <v>3785</v>
      </c>
      <c r="B1262" s="2" t="s">
        <v>3786</v>
      </c>
      <c r="C1262" s="3" t="s">
        <v>3787</v>
      </c>
      <c r="D1262" s="3" t="str">
        <f ca="1">IFERROR(__xludf.DUMMYFUNCTION("GOOGLETRANSLATE(A1262,""fr"",""en"")"),"to move")</f>
        <v>to move</v>
      </c>
      <c r="E1262" s="3" t="str">
        <f ca="1">IFERROR(__xludf.DUMMYFUNCTION("GOOGLETRANSLATE(B1262,""fr"",""en"")"),"He stirs the crowd with his passionate speech.")</f>
        <v>He stirs the crowd with his passionate speech.</v>
      </c>
    </row>
    <row r="1263" spans="1:5" x14ac:dyDescent="0.25">
      <c r="A1263" s="2" t="s">
        <v>3788</v>
      </c>
      <c r="B1263" s="2" t="s">
        <v>3789</v>
      </c>
      <c r="C1263" s="3" t="s">
        <v>3790</v>
      </c>
      <c r="D1263" s="3" t="str">
        <f ca="1">IFERROR(__xludf.DUMMYFUNCTION("GOOGLETRANSLATE(A1263,""fr"",""en"")"),"to reproach")</f>
        <v>to reproach</v>
      </c>
      <c r="E1263" s="3" t="str">
        <f ca="1">IFERROR(__xludf.DUMMYFUNCTION("GOOGLETRANSLATE(B1263,""fr"",""en"")"),"They blame the weather conditions for their delay.")</f>
        <v>They blame the weather conditions for their delay.</v>
      </c>
    </row>
    <row r="1264" spans="1:5" x14ac:dyDescent="0.25">
      <c r="A1264" s="2" t="s">
        <v>3791</v>
      </c>
      <c r="B1264" s="2" t="s">
        <v>3792</v>
      </c>
      <c r="C1264" s="3" t="s">
        <v>3793</v>
      </c>
      <c r="D1264" s="3" t="str">
        <f ca="1">IFERROR(__xludf.DUMMYFUNCTION("GOOGLETRANSLATE(A1264,""fr"",""en"")"),"to impute")</f>
        <v>to impute</v>
      </c>
      <c r="E1264" s="3" t="str">
        <f ca="1">IFERROR(__xludf.DUMMYFUNCTION("GOOGLETRANSLATE(B1264,""fr"",""en"")"),"She blames her assistant.")</f>
        <v>She blames her assistant.</v>
      </c>
    </row>
    <row r="1265" spans="1:5" x14ac:dyDescent="0.25">
      <c r="A1265" s="2" t="s">
        <v>3794</v>
      </c>
      <c r="B1265" s="2" t="s">
        <v>3795</v>
      </c>
      <c r="C1265" s="3" t="s">
        <v>3796</v>
      </c>
      <c r="D1265" s="3" t="str">
        <f ca="1">IFERROR(__xludf.DUMMYFUNCTION("GOOGLETRANSLATE(A1265,""fr"",""en"")"),"spray")</f>
        <v>spray</v>
      </c>
      <c r="E1265" s="3" t="str">
        <f ca="1">IFERROR(__xludf.DUMMYFUNCTION("GOOGLETRANSLATE(B1265,""fr"",""en"")"),"They spray the insecticide in the garden.")</f>
        <v>They spray the insecticide in the garden.</v>
      </c>
    </row>
    <row r="1266" spans="1:5" x14ac:dyDescent="0.25">
      <c r="A1266" s="2" t="s">
        <v>3797</v>
      </c>
      <c r="B1266" s="2" t="s">
        <v>3798</v>
      </c>
      <c r="C1266" s="3" t="s">
        <v>3799</v>
      </c>
      <c r="D1266" s="3" t="str">
        <f ca="1">IFERROR(__xludf.DUMMYFUNCTION("GOOGLETRANSLATE(A1266,""fr"",""en"")"),"proclaim")</f>
        <v>proclaim</v>
      </c>
      <c r="E1266" s="3" t="str">
        <f ca="1">IFERROR(__xludf.DUMMYFUNCTION("GOOGLETRANSLATE(B1266,""fr"",""en"")"),"The mayor proclaims the city day.")</f>
        <v>The mayor proclaims the city day.</v>
      </c>
    </row>
    <row r="1267" spans="1:5" x14ac:dyDescent="0.25">
      <c r="A1267" s="2" t="s">
        <v>3800</v>
      </c>
      <c r="B1267" s="2" t="s">
        <v>3801</v>
      </c>
      <c r="C1267" s="3" t="s">
        <v>3802</v>
      </c>
      <c r="D1267" s="3" t="str">
        <f ca="1">IFERROR(__xludf.DUMMYFUNCTION("GOOGLETRANSLATE(A1267,""fr"",""en"")"),"to wall up")</f>
        <v>to wall up</v>
      </c>
      <c r="E1267" s="3" t="str">
        <f ca="1">IFERROR(__xludf.DUMMYFUNCTION("GOOGLETRANSLATE(B1267,""fr"",""en"")"),"They wall up the doors to increase security.")</f>
        <v>They wall up the doors to increase security.</v>
      </c>
    </row>
    <row r="1268" spans="1:5" x14ac:dyDescent="0.25">
      <c r="A1268" s="2" t="s">
        <v>3803</v>
      </c>
      <c r="B1268" s="2" t="s">
        <v>3804</v>
      </c>
      <c r="C1268" s="3" t="s">
        <v>3805</v>
      </c>
      <c r="D1268" s="3" t="str">
        <f ca="1">IFERROR(__xludf.DUMMYFUNCTION("GOOGLETRANSLATE(A1268,""fr"",""en"")"),"spread")</f>
        <v>spread</v>
      </c>
      <c r="E1268" s="3" t="str">
        <f ca="1">IFERROR(__xludf.DUMMYFUNCTION("GOOGLETRANSLATE(B1268,""fr"",""en"")"),"He spread the news through social networks.")</f>
        <v>He spread the news through social networks.</v>
      </c>
    </row>
    <row r="1269" spans="1:5" x14ac:dyDescent="0.25">
      <c r="A1269" s="2" t="s">
        <v>3806</v>
      </c>
      <c r="B1269" s="2" t="s">
        <v>3807</v>
      </c>
      <c r="C1269" s="3" t="s">
        <v>3808</v>
      </c>
      <c r="D1269" s="3" t="str">
        <f ca="1">IFERROR(__xludf.DUMMYFUNCTION("GOOGLETRANSLATE(A1269,""fr"",""en"")"),"land")</f>
        <v>land</v>
      </c>
      <c r="E1269" s="3" t="str">
        <f ca="1">IFERROR(__xludf.DUMMYFUNCTION("GOOGLETRANSLATE(B1269,""fr"",""en"")"),"They disembark from the ship after a long crossing.")</f>
        <v>They disembark from the ship after a long crossing.</v>
      </c>
    </row>
    <row r="1270" spans="1:5" x14ac:dyDescent="0.25">
      <c r="A1270" s="2" t="s">
        <v>3809</v>
      </c>
      <c r="B1270" s="2" t="s">
        <v>3810</v>
      </c>
      <c r="C1270" s="3" t="s">
        <v>3811</v>
      </c>
      <c r="D1270" s="3" t="str">
        <f ca="1">IFERROR(__xludf.DUMMYFUNCTION("GOOGLETRANSLATE(A1270,""fr"",""en"")"),"underestimate")</f>
        <v>underestimate</v>
      </c>
      <c r="E1270" s="3" t="str">
        <f ca="1">IFERROR(__xludf.DUMMYFUNCTION("GOOGLETRANSLATE(B1270,""fr"",""en"")"),"Don't underestimate the importance of this project.")</f>
        <v>Don't underestimate the importance of this project.</v>
      </c>
    </row>
    <row r="1271" spans="1:5" x14ac:dyDescent="0.25">
      <c r="A1271" s="2" t="s">
        <v>3812</v>
      </c>
      <c r="B1271" s="2" t="s">
        <v>3813</v>
      </c>
      <c r="C1271" s="3" t="s">
        <v>3814</v>
      </c>
      <c r="D1271" s="3" t="str">
        <f ca="1">IFERROR(__xludf.DUMMYFUNCTION("GOOGLETRANSLATE(A1271,""fr"",""en"")"),"to rally")</f>
        <v>to rally</v>
      </c>
      <c r="E1271" s="3" t="str">
        <f ca="1">IFERROR(__xludf.DUMMYFUNCTION("GOOGLETRANSLATE(B1271,""fr"",""en"")"),"They rally the troops for the final battle.")</f>
        <v>They rally the troops for the final battle.</v>
      </c>
    </row>
    <row r="1272" spans="1:5" x14ac:dyDescent="0.25">
      <c r="A1272" s="2" t="s">
        <v>3815</v>
      </c>
      <c r="B1272" s="2" t="s">
        <v>3816</v>
      </c>
      <c r="C1272" s="3" t="s">
        <v>3817</v>
      </c>
      <c r="D1272" s="3" t="str">
        <f ca="1">IFERROR(__xludf.DUMMYFUNCTION("GOOGLETRANSLATE(A1272,""fr"",""en"")"),"invade")</f>
        <v>invade</v>
      </c>
      <c r="E1272" s="3" t="str">
        <f ca="1">IFERROR(__xludf.DUMMYFUNCTION("GOOGLETRANSLATE(B1272,""fr"",""en"")"),"The invaders storm the castle.")</f>
        <v>The invaders storm the castle.</v>
      </c>
    </row>
    <row r="1273" spans="1:5" x14ac:dyDescent="0.25">
      <c r="A1273" s="2" t="s">
        <v>3818</v>
      </c>
      <c r="B1273" s="2" t="s">
        <v>3819</v>
      </c>
      <c r="C1273" s="3" t="s">
        <v>3820</v>
      </c>
      <c r="D1273" s="3" t="str">
        <f ca="1">IFERROR(__xludf.DUMMYFUNCTION("GOOGLETRANSLATE(A1273,""fr"",""en"")"),"northwester")</f>
        <v>northwester</v>
      </c>
      <c r="E1273" s="3" t="str">
        <f ca="1">IFERROR(__xludf.DUMMYFUNCTION("GOOGLETRANSLATE(B1273,""fr"",""en"")"),"He travels northwest to predict the weather.")</f>
        <v>He travels northwest to predict the weather.</v>
      </c>
    </row>
    <row r="1274" spans="1:5" x14ac:dyDescent="0.25">
      <c r="A1274" s="2" t="s">
        <v>3821</v>
      </c>
      <c r="B1274" s="2" t="s">
        <v>3822</v>
      </c>
      <c r="C1274" s="3" t="s">
        <v>3823</v>
      </c>
      <c r="D1274" s="3" t="str">
        <f ca="1">IFERROR(__xludf.DUMMYFUNCTION("GOOGLETRANSLATE(A1274,""fr"",""en"")"),"reprimand")</f>
        <v>reprimand</v>
      </c>
      <c r="E1274" s="3" t="str">
        <f ca="1">IFERROR(__xludf.DUMMYFUNCTION("GOOGLETRANSLATE(B1274,""fr"",""en"")"),"She reprimands her children for their misbehavior.")</f>
        <v>She reprimands her children for their misbehavior.</v>
      </c>
    </row>
    <row r="1275" spans="1:5" x14ac:dyDescent="0.25">
      <c r="A1275" s="2" t="s">
        <v>3824</v>
      </c>
      <c r="B1275" s="2" t="s">
        <v>3825</v>
      </c>
      <c r="C1275" s="3" t="s">
        <v>3826</v>
      </c>
      <c r="D1275" s="3" t="str">
        <f ca="1">IFERROR(__xludf.DUMMYFUNCTION("GOOGLETRANSLATE(A1275,""fr"",""en"")"),"blow")</f>
        <v>blow</v>
      </c>
      <c r="E1275" s="3" t="str">
        <f ca="1">IFERROR(__xludf.DUMMYFUNCTION("GOOGLETRANSLATE(B1275,""fr"",""en"")"),"He blows on the hot soup to cool it down.")</f>
        <v>He blows on the hot soup to cool it down.</v>
      </c>
    </row>
    <row r="1276" spans="1:5" x14ac:dyDescent="0.25">
      <c r="A1276" s="2" t="s">
        <v>3827</v>
      </c>
      <c r="B1276" s="2" t="s">
        <v>3828</v>
      </c>
      <c r="C1276" s="3" t="s">
        <v>3829</v>
      </c>
      <c r="D1276" s="3" t="str">
        <f ca="1">IFERROR(__xludf.DUMMYFUNCTION("GOOGLETRANSLATE(A1276,""fr"",""en"")"),"torture")</f>
        <v>torture</v>
      </c>
      <c r="E1276" s="3" t="str">
        <f ca="1">IFERROR(__xludf.DUMMYFUNCTION("GOOGLETRANSLATE(B1276,""fr"",""en"")"),"The executioner tortures his prisoners to obtain information.")</f>
        <v>The executioner tortures his prisoners to obtain information.</v>
      </c>
    </row>
    <row r="1277" spans="1:5" x14ac:dyDescent="0.25">
      <c r="A1277" s="2" t="s">
        <v>3830</v>
      </c>
      <c r="B1277" s="2" t="s">
        <v>3831</v>
      </c>
      <c r="C1277" s="3" t="s">
        <v>3832</v>
      </c>
      <c r="D1277" s="3" t="str">
        <f ca="1">IFERROR(__xludf.DUMMYFUNCTION("GOOGLETRANSLATE(A1277,""fr"",""en"")"),"eat")</f>
        <v>eat</v>
      </c>
      <c r="E1277" s="3" t="str">
        <f ca="1">IFERROR(__xludf.DUMMYFUNCTION("GOOGLETRANSLATE(B1277,""fr"",""en"")"),"They eat their lunch on the go.")</f>
        <v>They eat their lunch on the go.</v>
      </c>
    </row>
    <row r="1278" spans="1:5" x14ac:dyDescent="0.25">
      <c r="A1278" s="2" t="s">
        <v>3833</v>
      </c>
      <c r="B1278" s="2" t="s">
        <v>3834</v>
      </c>
      <c r="C1278" s="3" t="s">
        <v>3835</v>
      </c>
      <c r="D1278" s="3" t="str">
        <f ca="1">IFERROR(__xludf.DUMMYFUNCTION("GOOGLETRANSLATE(A1278,""fr"",""en"")"),"move in")</f>
        <v>move in</v>
      </c>
      <c r="E1278" s="3" t="str">
        <f ca="1">IFERROR(__xludf.DUMMYFUNCTION("GOOGLETRANSLATE(B1278,""fr"",""en"")"),"They move into a new house.")</f>
        <v>They move into a new house.</v>
      </c>
    </row>
    <row r="1279" spans="1:5" x14ac:dyDescent="0.25">
      <c r="A1279" s="2" t="s">
        <v>3836</v>
      </c>
      <c r="B1279" s="2" t="s">
        <v>3837</v>
      </c>
      <c r="C1279" s="3" t="s">
        <v>3838</v>
      </c>
      <c r="D1279" s="3" t="str">
        <f ca="1">IFERROR(__xludf.DUMMYFUNCTION("GOOGLETRANSLATE(A1279,""fr"",""en"")"),"undermine")</f>
        <v>undermine</v>
      </c>
      <c r="E1279" s="3" t="str">
        <f ca="1">IFERROR(__xludf.DUMMYFUNCTION("GOOGLETRANSLATE(B1279,""fr"",""en"")"),"It mines data to find trends.")</f>
        <v>It mines data to find trends.</v>
      </c>
    </row>
    <row r="1280" spans="1:5" x14ac:dyDescent="0.25">
      <c r="A1280" s="2" t="s">
        <v>3839</v>
      </c>
      <c r="B1280" s="2" t="s">
        <v>3840</v>
      </c>
      <c r="C1280" s="3" t="s">
        <v>3841</v>
      </c>
      <c r="D1280" s="3" t="str">
        <f ca="1">IFERROR(__xludf.DUMMYFUNCTION("GOOGLETRANSLATE(A1280,""fr"",""en"")"),"hang")</f>
        <v>hang</v>
      </c>
      <c r="E1280" s="3" t="str">
        <f ca="1">IFERROR(__xludf.DUMMYFUNCTION("GOOGLETRANSLATE(B1280,""fr"",""en"")"),"It weighs heavily on his conscience.")</f>
        <v>It weighs heavily on his conscience.</v>
      </c>
    </row>
    <row r="1281" spans="1:5" x14ac:dyDescent="0.25">
      <c r="A1281" s="2" t="s">
        <v>3842</v>
      </c>
      <c r="B1281" s="2" t="s">
        <v>3843</v>
      </c>
      <c r="C1281" s="3" t="s">
        <v>3844</v>
      </c>
      <c r="D1281" s="3" t="str">
        <f ca="1">IFERROR(__xludf.DUMMYFUNCTION("GOOGLETRANSLATE(A1281,""fr"",""en"")"),"automate")</f>
        <v>automate</v>
      </c>
      <c r="E1281" s="3" t="str">
        <f ca="1">IFERROR(__xludf.DUMMYFUNCTION("GOOGLETRANSLATE(B1281,""fr"",""en"")"),"They automate the production process to increase efficiency.")</f>
        <v>They automate the production process to increase efficiency.</v>
      </c>
    </row>
    <row r="1282" spans="1:5" x14ac:dyDescent="0.25">
      <c r="A1282" s="2" t="s">
        <v>3845</v>
      </c>
      <c r="B1282" s="2" t="s">
        <v>3846</v>
      </c>
      <c r="C1282" s="3" t="s">
        <v>3847</v>
      </c>
      <c r="D1282" s="3" t="str">
        <f ca="1">IFERROR(__xludf.DUMMYFUNCTION("GOOGLETRANSLATE(A1282,""fr"",""en"")"),"shelter")</f>
        <v>shelter</v>
      </c>
      <c r="E1282" s="3" t="str">
        <f ca="1">IFERROR(__xludf.DUMMYFUNCTION("GOOGLETRANSLATE(B1282,""fr"",""en"")"),"The house houses a rare collection of antique books.")</f>
        <v>The house houses a rare collection of antique books.</v>
      </c>
    </row>
    <row r="1283" spans="1:5" x14ac:dyDescent="0.25">
      <c r="A1283" s="2" t="s">
        <v>3848</v>
      </c>
      <c r="B1283" s="2" t="s">
        <v>3849</v>
      </c>
      <c r="C1283" s="3" t="s">
        <v>3850</v>
      </c>
      <c r="D1283" s="3" t="str">
        <f ca="1">IFERROR(__xludf.DUMMYFUNCTION("GOOGLETRANSLATE(A1283,""fr"",""en"")"),"to vomit")</f>
        <v>to vomit</v>
      </c>
      <c r="E1283" s="3" t="str">
        <f ca="1">IFERROR(__xludf.DUMMYFUNCTION("GOOGLETRANSLATE(B1283,""fr"",""en"")"),"He vomits after eating too much.")</f>
        <v>He vomits after eating too much.</v>
      </c>
    </row>
    <row r="1284" spans="1:5" x14ac:dyDescent="0.25">
      <c r="A1284" s="2" t="s">
        <v>3851</v>
      </c>
      <c r="B1284" s="2" t="s">
        <v>3852</v>
      </c>
      <c r="C1284" s="3" t="s">
        <v>3853</v>
      </c>
      <c r="D1284" s="3" t="str">
        <f ca="1">IFERROR(__xludf.DUMMYFUNCTION("GOOGLETRANSLATE(A1284,""fr"",""en"")"),"pump")</f>
        <v>pump</v>
      </c>
      <c r="E1284" s="3" t="str">
        <f ca="1">IFERROR(__xludf.DUMMYFUNCTION("GOOGLETRANSLATE(B1284,""fr"",""en"")"),"They pump water from the well for irrigation.")</f>
        <v>They pump water from the well for irrigation.</v>
      </c>
    </row>
    <row r="1285" spans="1:5" x14ac:dyDescent="0.25">
      <c r="A1285" s="2" t="s">
        <v>3854</v>
      </c>
      <c r="B1285" s="2" t="s">
        <v>3855</v>
      </c>
      <c r="C1285" s="3" t="s">
        <v>3856</v>
      </c>
      <c r="D1285" s="3" t="str">
        <f ca="1">IFERROR(__xludf.DUMMYFUNCTION("GOOGLETRANSLATE(A1285,""fr"",""en"")"),"presume")</f>
        <v>presume</v>
      </c>
      <c r="E1285" s="3" t="str">
        <f ca="1">IFERROR(__xludf.DUMMYFUNCTION("GOOGLETRANSLATE(B1285,""fr"",""en"")"),"She assumes he will come to the meeting.")</f>
        <v>She assumes he will come to the meeting.</v>
      </c>
    </row>
    <row r="1286" spans="1:5" x14ac:dyDescent="0.25">
      <c r="A1286" s="2" t="s">
        <v>3857</v>
      </c>
      <c r="B1286" s="2" t="s">
        <v>3858</v>
      </c>
      <c r="C1286" s="3" t="s">
        <v>3859</v>
      </c>
      <c r="D1286" s="3" t="str">
        <f ca="1">IFERROR(__xludf.DUMMYFUNCTION("GOOGLETRANSLATE(A1286,""fr"",""en"")"),"worse")</f>
        <v>worse</v>
      </c>
      <c r="E1286" s="3" t="str">
        <f ca="1">IFERROR(__xludf.DUMMYFUNCTION("GOOGLETRANSLATE(B1286,""fr"",""en"")"),"Tensions between countries are worsening.")</f>
        <v>Tensions between countries are worsening.</v>
      </c>
    </row>
    <row r="1287" spans="1:5" x14ac:dyDescent="0.25">
      <c r="A1287" s="2" t="s">
        <v>3860</v>
      </c>
      <c r="B1287" s="2" t="s">
        <v>3861</v>
      </c>
      <c r="C1287" s="3" t="s">
        <v>3862</v>
      </c>
      <c r="D1287" s="3" t="str">
        <f ca="1">IFERROR(__xludf.DUMMYFUNCTION("GOOGLETRANSLATE(A1287,""fr"",""en"")"),"water")</f>
        <v>water</v>
      </c>
      <c r="E1287" s="3" t="str">
        <f ca="1">IFERROR(__xludf.DUMMYFUNCTION("GOOGLETRANSLATE(B1287,""fr"",""en"")"),"He waters the plants every morning.")</f>
        <v>He waters the plants every morning.</v>
      </c>
    </row>
    <row r="1288" spans="1:5" x14ac:dyDescent="0.25">
      <c r="A1288" s="2" t="s">
        <v>3863</v>
      </c>
      <c r="B1288" s="2" t="s">
        <v>3864</v>
      </c>
      <c r="C1288" s="3" t="s">
        <v>3865</v>
      </c>
      <c r="D1288" s="3" t="str">
        <f ca="1">IFERROR(__xludf.DUMMYFUNCTION("GOOGLETRANSLATE(A1288,""fr"",""en"")"),"add")</f>
        <v>add</v>
      </c>
      <c r="E1288" s="3" t="str">
        <f ca="1">IFERROR(__xludf.DUMMYFUNCTION("GOOGLETRANSLATE(B1288,""fr"",""en"")"),"They add spices to enhance the taste of the dish.")</f>
        <v>They add spices to enhance the taste of the dish.</v>
      </c>
    </row>
    <row r="1289" spans="1:5" x14ac:dyDescent="0.25">
      <c r="A1289" s="2" t="s">
        <v>3866</v>
      </c>
      <c r="B1289" s="2" t="s">
        <v>3867</v>
      </c>
      <c r="C1289" s="3" t="s">
        <v>3868</v>
      </c>
      <c r="D1289" s="3" t="str">
        <f ca="1">IFERROR(__xludf.DUMMYFUNCTION("GOOGLETRANSLATE(A1289,""fr"",""en"")"),"become again")</f>
        <v>become again</v>
      </c>
      <c r="E1289" s="3" t="str">
        <f ca="1">IFERROR(__xludf.DUMMYFUNCTION("GOOGLETRANSLATE(B1289,""fr"",""en"")"),"She becomes the person she was before the accident again.")</f>
        <v>She becomes the person she was before the accident again.</v>
      </c>
    </row>
    <row r="1290" spans="1:5" x14ac:dyDescent="0.25">
      <c r="A1290" s="2" t="s">
        <v>3869</v>
      </c>
      <c r="B1290" s="2" t="s">
        <v>3870</v>
      </c>
      <c r="C1290" s="3" t="s">
        <v>3871</v>
      </c>
      <c r="D1290" s="3" t="str">
        <f ca="1">IFERROR(__xludf.DUMMYFUNCTION("GOOGLETRANSLATE(A1290,""fr"",""en"")"),"wool")</f>
        <v>wool</v>
      </c>
      <c r="E1290" s="3" t="str">
        <f ca="1">IFERROR(__xludf.DUMMYFUNCTION("GOOGLETRANSLATE(B1290,""fr"",""en"")"),"They woolen sheep to make wool.")</f>
        <v>They woolen sheep to make wool.</v>
      </c>
    </row>
    <row r="1291" spans="1:5" x14ac:dyDescent="0.25">
      <c r="A1291" s="2" t="s">
        <v>3872</v>
      </c>
      <c r="B1291" s="2" t="s">
        <v>3873</v>
      </c>
      <c r="C1291" s="3" t="s">
        <v>3874</v>
      </c>
      <c r="D1291" s="3" t="str">
        <f ca="1">IFERROR(__xludf.DUMMYFUNCTION("GOOGLETRANSLATE(A1291,""fr"",""en"")"),"decipher")</f>
        <v>decipher</v>
      </c>
      <c r="E1291" s="3" t="str">
        <f ca="1">IFERROR(__xludf.DUMMYFUNCTION("GOOGLETRANSLATE(B1291,""fr"",""en"")"),"He decrypts the code to access the file.")</f>
        <v>He decrypts the code to access the file.</v>
      </c>
    </row>
    <row r="1292" spans="1:5" x14ac:dyDescent="0.25">
      <c r="A1292" s="2" t="s">
        <v>3875</v>
      </c>
      <c r="B1292" s="2" t="s">
        <v>3876</v>
      </c>
      <c r="C1292" s="3" t="s">
        <v>3877</v>
      </c>
      <c r="D1292" s="3" t="str">
        <f ca="1">IFERROR(__xludf.DUMMYFUNCTION("GOOGLETRANSLATE(A1292,""fr"",""en"")"),"piper")</f>
        <v>piper</v>
      </c>
      <c r="E1292" s="3" t="str">
        <f ca="1">IFERROR(__xludf.DUMMYFUNCTION("GOOGLETRANSLATE(B1292,""fr"",""en"")"),"She loads the dice to cheat at the board game.")</f>
        <v>She loads the dice to cheat at the board game.</v>
      </c>
    </row>
    <row r="1293" spans="1:5" x14ac:dyDescent="0.25">
      <c r="A1293" s="2" t="s">
        <v>3878</v>
      </c>
      <c r="B1293" s="2" t="s">
        <v>3879</v>
      </c>
      <c r="C1293" s="3" t="s">
        <v>3880</v>
      </c>
      <c r="D1293" s="3" t="str">
        <f ca="1">IFERROR(__xludf.DUMMYFUNCTION("GOOGLETRANSLATE(A1293,""fr"",""en"")"),"dedicate")</f>
        <v>dedicate</v>
      </c>
      <c r="E1293" s="3" t="str">
        <f ca="1">IFERROR(__xludf.DUMMYFUNCTION("GOOGLETRANSLATE(B1293,""fr"",""en"")"),"They dedicate this monument to the fallen soldiers.")</f>
        <v>They dedicate this monument to the fallen soldiers.</v>
      </c>
    </row>
    <row r="1294" spans="1:5" x14ac:dyDescent="0.25">
      <c r="A1294" s="2" t="s">
        <v>3881</v>
      </c>
      <c r="B1294" s="2" t="s">
        <v>3882</v>
      </c>
      <c r="C1294" s="3" t="s">
        <v>3883</v>
      </c>
      <c r="D1294" s="3" t="str">
        <f ca="1">IFERROR(__xludf.DUMMYFUNCTION("GOOGLETRANSLATE(A1294,""fr"",""en"")"),"affix")</f>
        <v>affix</v>
      </c>
      <c r="E1294" s="3" t="str">
        <f ca="1">IFERROR(__xludf.DUMMYFUNCTION("GOOGLETRANSLATE(B1294,""fr"",""en"")"),"He puts his stamp on the contract.")</f>
        <v>He puts his stamp on the contract.</v>
      </c>
    </row>
    <row r="1295" spans="1:5" x14ac:dyDescent="0.25">
      <c r="A1295" s="2" t="s">
        <v>3884</v>
      </c>
      <c r="B1295" s="2" t="s">
        <v>3885</v>
      </c>
      <c r="C1295" s="3" t="s">
        <v>3886</v>
      </c>
      <c r="D1295" s="3" t="str">
        <f ca="1">IFERROR(__xludf.DUMMYFUNCTION("GOOGLETRANSLATE(A1295,""fr"",""en"")"),"to enclose")</f>
        <v>to enclose</v>
      </c>
      <c r="E1295" s="3" t="str">
        <f ca="1">IFERROR(__xludf.DUMMYFUNCTION("GOOGLETRANSLATE(B1295,""fr"",""en"")"),"They bottle up their emotions to appear professional.")</f>
        <v>They bottle up their emotions to appear professional.</v>
      </c>
    </row>
    <row r="1296" spans="1:5" x14ac:dyDescent="0.25">
      <c r="A1296" s="2" t="s">
        <v>3887</v>
      </c>
      <c r="B1296" s="2" t="s">
        <v>3888</v>
      </c>
      <c r="C1296" s="3" t="s">
        <v>3889</v>
      </c>
      <c r="D1296" s="3" t="str">
        <f ca="1">IFERROR(__xludf.DUMMYFUNCTION("GOOGLETRANSLATE(A1296,""fr"",""en"")"),"to track down")</f>
        <v>to track down</v>
      </c>
      <c r="E1296" s="3" t="str">
        <f ca="1">IFERROR(__xludf.DUMMYFUNCTION("GOOGLETRANSLATE(B1296,""fr"",""en"")"),"He tracks the criminal through the city.")</f>
        <v>He tracks the criminal through the city.</v>
      </c>
    </row>
    <row r="1297" spans="1:5" x14ac:dyDescent="0.25">
      <c r="A1297" s="2" t="s">
        <v>3890</v>
      </c>
      <c r="B1297" s="2" t="s">
        <v>3891</v>
      </c>
      <c r="C1297" s="3" t="s">
        <v>3892</v>
      </c>
      <c r="D1297" s="3" t="str">
        <f ca="1">IFERROR(__xludf.DUMMYFUNCTION("GOOGLETRANSLATE(A1297,""fr"",""en"")"),"to violate")</f>
        <v>to violate</v>
      </c>
      <c r="E1297" s="3" t="str">
        <f ca="1">IFERROR(__xludf.DUMMYFUNCTION("GOOGLETRANSLATE(B1297,""fr"",""en"")"),"They break the rules to achieve their goals.")</f>
        <v>They break the rules to achieve their goals.</v>
      </c>
    </row>
    <row r="1298" spans="1:5" x14ac:dyDescent="0.25">
      <c r="A1298" s="2" t="s">
        <v>3893</v>
      </c>
      <c r="B1298" s="2" t="s">
        <v>3894</v>
      </c>
      <c r="C1298" s="3" t="s">
        <v>3895</v>
      </c>
      <c r="D1298" s="3" t="str">
        <f ca="1">IFERROR(__xludf.DUMMYFUNCTION("GOOGLETRANSLATE(A1298,""fr"",""en"")"),"enact")</f>
        <v>enact</v>
      </c>
      <c r="E1298" s="3" t="str">
        <f ca="1">IFERROR(__xludf.DUMMYFUNCTION("GOOGLETRANSLATE(B1298,""fr"",""en"")"),"The President promulgates a new law.")</f>
        <v>The President promulgates a new law.</v>
      </c>
    </row>
    <row r="1299" spans="1:5" x14ac:dyDescent="0.25">
      <c r="A1299" s="2" t="s">
        <v>3896</v>
      </c>
      <c r="B1299" s="2" t="s">
        <v>3897</v>
      </c>
      <c r="C1299" s="3" t="s">
        <v>3898</v>
      </c>
      <c r="D1299" s="3" t="str">
        <f ca="1">IFERROR(__xludf.DUMMYFUNCTION("GOOGLETRANSLATE(A1299,""fr"",""en"")"),"crack")</f>
        <v>crack</v>
      </c>
      <c r="E1299" s="3" t="str">
        <f ca="1">IFERROR(__xludf.DUMMYFUNCTION("GOOGLETRANSLATE(B1299,""fr"",""en"")"),"She cracks under so much pressure.")</f>
        <v>She cracks under so much pressure.</v>
      </c>
    </row>
    <row r="1300" spans="1:5" x14ac:dyDescent="0.25">
      <c r="A1300" s="2" t="s">
        <v>3899</v>
      </c>
      <c r="B1300" s="2" t="s">
        <v>3900</v>
      </c>
      <c r="C1300" s="3" t="s">
        <v>3901</v>
      </c>
      <c r="D1300" s="3" t="str">
        <f ca="1">IFERROR(__xludf.DUMMYFUNCTION("GOOGLETRANSLATE(A1300,""fr"",""en"")"),"confront")</f>
        <v>confront</v>
      </c>
      <c r="E1300" s="3" t="str">
        <f ca="1">IFERROR(__xludf.DUMMYFUNCTION("GOOGLETRANSLATE(B1300,""fr"",""en"")"),"They confront the suspects during interrogation.")</f>
        <v>They confront the suspects during interrogation.</v>
      </c>
    </row>
    <row r="1301" spans="1:5" x14ac:dyDescent="0.25">
      <c r="A1301" s="2" t="s">
        <v>3902</v>
      </c>
      <c r="B1301" s="2" t="s">
        <v>3903</v>
      </c>
      <c r="C1301" s="3" t="s">
        <v>3904</v>
      </c>
      <c r="D1301" s="3" t="str">
        <f ca="1">IFERROR(__xludf.DUMMYFUNCTION("GOOGLETRANSLATE(A1301,""fr"",""en"")"),"to knit")</f>
        <v>to knit</v>
      </c>
      <c r="E1301" s="3" t="str">
        <f ca="1">IFERROR(__xludf.DUMMYFUNCTION("GOOGLETRANSLATE(B1301,""fr"",""en"")"),"She knits a scarf for winter.")</f>
        <v>She knits a scarf for winter.</v>
      </c>
    </row>
    <row r="1302" spans="1:5" x14ac:dyDescent="0.25">
      <c r="A1302" s="2" t="s">
        <v>3905</v>
      </c>
      <c r="B1302" s="2" t="s">
        <v>3906</v>
      </c>
      <c r="C1302" s="3" t="s">
        <v>3907</v>
      </c>
      <c r="D1302" s="3" t="str">
        <f ca="1">IFERROR(__xludf.DUMMYFUNCTION("GOOGLETRANSLATE(A1302,""fr"",""en"")"),"extradite")</f>
        <v>extradite</v>
      </c>
      <c r="E1302" s="3" t="str">
        <f ca="1">IFERROR(__xludf.DUMMYFUNCTION("GOOGLETRANSLATE(B1302,""fr"",""en"")"),"They extradite the criminal to his country of origin.")</f>
        <v>They extradite the criminal to his country of origin.</v>
      </c>
    </row>
    <row r="1303" spans="1:5" x14ac:dyDescent="0.25">
      <c r="A1303" s="2" t="s">
        <v>3908</v>
      </c>
      <c r="B1303" s="2" t="s">
        <v>3909</v>
      </c>
      <c r="C1303" s="3" t="s">
        <v>3910</v>
      </c>
      <c r="D1303" s="3" t="str">
        <f ca="1">IFERROR(__xludf.DUMMYFUNCTION("GOOGLETRANSLATE(A1303,""fr"",""en"")"),"demolish")</f>
        <v>demolish</v>
      </c>
      <c r="E1303" s="3" t="str">
        <f ca="1">IFERROR(__xludf.DUMMYFUNCTION("GOOGLETRANSLATE(B1303,""fr"",""en"")"),"They are demolishing the old building to build a new shopping center.")</f>
        <v>They are demolishing the old building to build a new shopping center.</v>
      </c>
    </row>
    <row r="1304" spans="1:5" x14ac:dyDescent="0.25">
      <c r="A1304" s="2" t="s">
        <v>3911</v>
      </c>
      <c r="B1304" s="2" t="s">
        <v>3912</v>
      </c>
      <c r="C1304" s="3" t="s">
        <v>3913</v>
      </c>
      <c r="D1304" s="3" t="str">
        <f ca="1">IFERROR(__xludf.DUMMYFUNCTION("GOOGLETRANSLATE(A1304,""fr"",""en"")"),"to apply")</f>
        <v>to apply</v>
      </c>
      <c r="E1304" s="3" t="str">
        <f ca="1">IFERROR(__xludf.DUMMYFUNCTION("GOOGLETRANSLATE(B1304,""fr"",""en"")"),"She is applying for a senior management position in the company.")</f>
        <v>She is applying for a senior management position in the company.</v>
      </c>
    </row>
    <row r="1305" spans="1:5" x14ac:dyDescent="0.25">
      <c r="A1305" s="2" t="s">
        <v>3914</v>
      </c>
      <c r="B1305" s="2" t="s">
        <v>3915</v>
      </c>
      <c r="C1305" s="3" t="s">
        <v>3916</v>
      </c>
      <c r="D1305" s="3" t="str">
        <f ca="1">IFERROR(__xludf.DUMMYFUNCTION("GOOGLETRANSLATE(A1305,""fr"",""en"")"),"to soften")</f>
        <v>to soften</v>
      </c>
      <c r="E1305" s="3" t="str">
        <f ca="1">IFERROR(__xludf.DUMMYFUNCTION("GOOGLETRANSLATE(B1305,""fr"",""en"")"),"He loosens up his muscles after a long workout.")</f>
        <v>He loosens up his muscles after a long workout.</v>
      </c>
    </row>
    <row r="1306" spans="1:5" x14ac:dyDescent="0.25">
      <c r="A1306" s="2" t="s">
        <v>3917</v>
      </c>
      <c r="B1306" s="2" t="s">
        <v>3918</v>
      </c>
      <c r="C1306" s="3" t="s">
        <v>3919</v>
      </c>
      <c r="D1306" s="3" t="str">
        <f ca="1">IFERROR(__xludf.DUMMYFUNCTION("GOOGLETRANSLATE(A1306,""fr"",""en"")"),"grow old")</f>
        <v>grow old</v>
      </c>
      <c r="E1306" s="3" t="str">
        <f ca="1">IFERROR(__xludf.DUMMYFUNCTION("GOOGLETRANSLATE(B1306,""fr"",""en"")"),"His hair is starting to age and turn gray.")</f>
        <v>His hair is starting to age and turn gray.</v>
      </c>
    </row>
    <row r="1307" spans="1:5" x14ac:dyDescent="0.25">
      <c r="A1307" s="2" t="s">
        <v>3920</v>
      </c>
      <c r="B1307" s="2" t="s">
        <v>3921</v>
      </c>
      <c r="C1307" s="3" t="s">
        <v>3922</v>
      </c>
      <c r="D1307" s="3" t="str">
        <f ca="1">IFERROR(__xludf.DUMMYFUNCTION("GOOGLETRANSLATE(A1307,""fr"",""en"")"),"regenerate")</f>
        <v>regenerate</v>
      </c>
      <c r="E1307" s="3" t="str">
        <f ca="1">IFERROR(__xludf.DUMMYFUNCTION("GOOGLETRANSLATE(B1307,""fr"",""en"")"),"The treatment regenerates skin cells.")</f>
        <v>The treatment regenerates skin cells.</v>
      </c>
    </row>
    <row r="1308" spans="1:5" x14ac:dyDescent="0.25">
      <c r="A1308" s="2" t="s">
        <v>3923</v>
      </c>
      <c r="B1308" s="2" t="s">
        <v>3924</v>
      </c>
      <c r="C1308" s="3" t="s">
        <v>3925</v>
      </c>
      <c r="D1308" s="3" t="str">
        <f ca="1">IFERROR(__xludf.DUMMYFUNCTION("GOOGLETRANSLATE(A1308,""fr"",""en"")"),"refresh")</f>
        <v>refresh</v>
      </c>
      <c r="E1308" s="3" t="str">
        <f ca="1">IFERROR(__xludf.DUMMYFUNCTION("GOOGLETRANSLATE(B1308,""fr"",""en"")"),"He refreshes his face with cool water.")</f>
        <v>He refreshes his face with cool water.</v>
      </c>
    </row>
    <row r="1309" spans="1:5" x14ac:dyDescent="0.25">
      <c r="A1309" s="2" t="s">
        <v>3926</v>
      </c>
      <c r="B1309" s="2" t="s">
        <v>3927</v>
      </c>
      <c r="C1309" s="3" t="s">
        <v>3928</v>
      </c>
      <c r="D1309" s="3" t="str">
        <f ca="1">IFERROR(__xludf.DUMMYFUNCTION("GOOGLETRANSLATE(A1309,""fr"",""en"")"),"surf")</f>
        <v>surf</v>
      </c>
      <c r="E1309" s="3" t="str">
        <f ca="1">IFERROR(__xludf.DUMMYFUNCTION("GOOGLETRANSLATE(B1309,""fr"",""en"")"),"They surf the ocean waves every summer.")</f>
        <v>They surf the ocean waves every summer.</v>
      </c>
    </row>
    <row r="1310" spans="1:5" x14ac:dyDescent="0.25">
      <c r="A1310" s="2" t="s">
        <v>3929</v>
      </c>
      <c r="B1310" s="2" t="s">
        <v>3930</v>
      </c>
      <c r="C1310" s="3" t="s">
        <v>3931</v>
      </c>
      <c r="D1310" s="3" t="str">
        <f ca="1">IFERROR(__xludf.DUMMYFUNCTION("GOOGLETRANSLATE(A1310,""fr"",""en"")"),"channel")</f>
        <v>channel</v>
      </c>
      <c r="E1310" s="3" t="str">
        <f ca="1">IFERROR(__xludf.DUMMYFUNCTION("GOOGLETRANSLATE(B1310,""fr"",""en"")"),"She channels her creative energy into her paintings.")</f>
        <v>She channels her creative energy into her paintings.</v>
      </c>
    </row>
    <row r="1311" spans="1:5" x14ac:dyDescent="0.25">
      <c r="A1311" s="2" t="s">
        <v>3932</v>
      </c>
      <c r="B1311" s="2" t="s">
        <v>3933</v>
      </c>
      <c r="C1311" s="3" t="s">
        <v>3934</v>
      </c>
      <c r="D1311" s="3" t="str">
        <f ca="1">IFERROR(__xludf.DUMMYFUNCTION("GOOGLETRANSLATE(A1311,""fr"",""en"")"),"hate")</f>
        <v>hate</v>
      </c>
      <c r="E1311" s="3" t="str">
        <f ca="1">IFERROR(__xludf.DUMMYFUNCTION("GOOGLETRANSLATE(B1311,""fr"",""en"")"),"They hate rainy days.")</f>
        <v>They hate rainy days.</v>
      </c>
    </row>
    <row r="1312" spans="1:5" x14ac:dyDescent="0.25">
      <c r="A1312" s="2" t="s">
        <v>3935</v>
      </c>
      <c r="B1312" s="2" t="s">
        <v>3936</v>
      </c>
      <c r="C1312" s="3" t="s">
        <v>3937</v>
      </c>
      <c r="D1312" s="3" t="str">
        <f ca="1">IFERROR(__xludf.DUMMYFUNCTION("GOOGLETRANSLATE(A1312,""fr"",""en"")"),"harass")</f>
        <v>harass</v>
      </c>
      <c r="E1312" s="3" t="str">
        <f ca="1">IFERROR(__xludf.DUMMYFUNCTION("GOOGLETRANSLATE(B1312,""fr"",""en"")"),"He harassed his neighbors with noise late at night.")</f>
        <v>He harassed his neighbors with noise late at night.</v>
      </c>
    </row>
    <row r="1313" spans="1:5" x14ac:dyDescent="0.25">
      <c r="A1313" s="2" t="s">
        <v>3938</v>
      </c>
      <c r="B1313" s="2" t="s">
        <v>3939</v>
      </c>
      <c r="C1313" s="3" t="s">
        <v>3940</v>
      </c>
      <c r="D1313" s="3" t="str">
        <f ca="1">IFERROR(__xludf.DUMMYFUNCTION("GOOGLETRANSLATE(A1313,""fr"",""en"")"),"emerge")</f>
        <v>emerge</v>
      </c>
      <c r="E1313" s="3" t="str">
        <f ca="1">IFERROR(__xludf.DUMMYFUNCTION("GOOGLETRANSLATE(B1313,""fr"",""en"")"),"Innovative ideas emerge during brainstorming sessions.")</f>
        <v>Innovative ideas emerge during brainstorming sessions.</v>
      </c>
    </row>
    <row r="1314" spans="1:5" x14ac:dyDescent="0.25">
      <c r="A1314" s="2" t="s">
        <v>3941</v>
      </c>
      <c r="B1314" s="2" t="s">
        <v>3942</v>
      </c>
      <c r="C1314" s="3" t="s">
        <v>3943</v>
      </c>
      <c r="D1314" s="3" t="str">
        <f ca="1">IFERROR(__xludf.DUMMYFUNCTION("GOOGLETRANSLATE(A1314,""fr"",""en"")"),"roll up")</f>
        <v>roll up</v>
      </c>
      <c r="E1314" s="3" t="str">
        <f ca="1">IFERROR(__xludf.DUMMYFUNCTION("GOOGLETRANSLATE(B1314,""fr"",""en"")"),"She wraps the rope around the wooden post.")</f>
        <v>She wraps the rope around the wooden post.</v>
      </c>
    </row>
    <row r="1315" spans="1:5" x14ac:dyDescent="0.25">
      <c r="A1315" s="2" t="s">
        <v>3944</v>
      </c>
      <c r="B1315" s="2" t="s">
        <v>3945</v>
      </c>
      <c r="C1315" s="3" t="s">
        <v>3946</v>
      </c>
      <c r="D1315" s="3" t="str">
        <f ca="1">IFERROR(__xludf.DUMMYFUNCTION("GOOGLETRANSLATE(A1315,""fr"",""en"")"),"to amaze")</f>
        <v>to amaze</v>
      </c>
      <c r="E1315" s="3" t="str">
        <f ca="1">IFERROR(__xludf.DUMMYFUNCTION("GOOGLETRANSLATE(B1315,""fr"",""en"")"),"His artistic talent still amazes his teachers.")</f>
        <v>His artistic talent still amazes his teachers.</v>
      </c>
    </row>
    <row r="1316" spans="1:5" x14ac:dyDescent="0.25">
      <c r="A1316" s="2" t="s">
        <v>3947</v>
      </c>
      <c r="B1316" s="2" t="s">
        <v>3948</v>
      </c>
      <c r="C1316" s="3" t="s">
        <v>3949</v>
      </c>
      <c r="D1316" s="3" t="str">
        <f ca="1">IFERROR(__xludf.DUMMYFUNCTION("GOOGLETRANSLATE(A1316,""fr"",""en"")"),"to count")</f>
        <v>to count</v>
      </c>
      <c r="E1316" s="3" t="str">
        <f ca="1">IFERROR(__xludf.DUMMYFUNCTION("GOOGLETRANSLATE(B1316,""fr"",""en"")"),"They account for last year's profits and losses.")</f>
        <v>They account for last year's profits and losses.</v>
      </c>
    </row>
    <row r="1317" spans="1:5" x14ac:dyDescent="0.25">
      <c r="A1317" s="2" t="s">
        <v>3950</v>
      </c>
      <c r="B1317" s="2" t="s">
        <v>3951</v>
      </c>
      <c r="C1317" s="3" t="s">
        <v>3952</v>
      </c>
      <c r="D1317" s="3" t="str">
        <f ca="1">IFERROR(__xludf.DUMMYFUNCTION("GOOGLETRANSLATE(A1317,""fr"",""en"")"),"awaken")</f>
        <v>awaken</v>
      </c>
      <c r="E1317" s="3" t="str">
        <f ca="1">IFERROR(__xludf.DUMMYFUNCTION("GOOGLETRANSLATE(B1317,""fr"",""en"")"),"The children wake up early in the morning.")</f>
        <v>The children wake up early in the morning.</v>
      </c>
    </row>
    <row r="1318" spans="1:5" x14ac:dyDescent="0.25">
      <c r="A1318" s="2" t="s">
        <v>3953</v>
      </c>
      <c r="B1318" s="2" t="s">
        <v>3954</v>
      </c>
      <c r="C1318" s="3" t="s">
        <v>3955</v>
      </c>
      <c r="D1318" s="3" t="str">
        <f ca="1">IFERROR(__xludf.DUMMYFUNCTION("GOOGLETRANSLATE(A1318,""fr"",""en"")"),"arise")</f>
        <v>arise</v>
      </c>
      <c r="E1318" s="3" t="str">
        <f ca="1">IFERROR(__xludf.DUMMYFUNCTION("GOOGLETRANSLATE(B1318,""fr"",""en"")"),"Problems arise at every stage of the project.")</f>
        <v>Problems arise at every stage of the project.</v>
      </c>
    </row>
    <row r="1319" spans="1:5" x14ac:dyDescent="0.25">
      <c r="A1319" s="2" t="s">
        <v>3956</v>
      </c>
      <c r="B1319" s="2" t="s">
        <v>3957</v>
      </c>
      <c r="C1319" s="3" t="s">
        <v>3958</v>
      </c>
      <c r="D1319" s="3" t="str">
        <f ca="1">IFERROR(__xludf.DUMMYFUNCTION("GOOGLETRANSLATE(A1319,""fr"",""en"")"),"expire")</f>
        <v>expire</v>
      </c>
      <c r="E1319" s="3" t="str">
        <f ca="1">IFERROR(__xludf.DUMMYFUNCTION("GOOGLETRANSLATE(B1319,""fr"",""en"")"),"He exhales deeply to relax.")</f>
        <v>He exhales deeply to relax.</v>
      </c>
    </row>
    <row r="1320" spans="1:5" x14ac:dyDescent="0.25">
      <c r="A1320" s="2" t="s">
        <v>3959</v>
      </c>
      <c r="B1320" s="2" t="s">
        <v>3960</v>
      </c>
      <c r="C1320" s="3" t="s">
        <v>3961</v>
      </c>
      <c r="D1320" s="3" t="str">
        <f ca="1">IFERROR(__xludf.DUMMYFUNCTION("GOOGLETRANSLATE(A1320,""fr"",""en"")"),"supply")</f>
        <v>supply</v>
      </c>
      <c r="E1320" s="3" t="str">
        <f ca="1">IFERROR(__xludf.DUMMYFUNCTION("GOOGLETRANSLATE(B1320,""fr"",""en"")"),"They supply the stores with fresh produce every morning.")</f>
        <v>They supply the stores with fresh produce every morning.</v>
      </c>
    </row>
    <row r="1321" spans="1:5" x14ac:dyDescent="0.25">
      <c r="A1321" s="2" t="s">
        <v>3962</v>
      </c>
      <c r="B1321" s="2" t="s">
        <v>3963</v>
      </c>
      <c r="C1321" s="3" t="s">
        <v>3964</v>
      </c>
      <c r="D1321" s="3" t="str">
        <f ca="1">IFERROR(__xludf.DUMMYFUNCTION("GOOGLETRANSLATE(A1321,""fr"",""en"")"),"exceed")</f>
        <v>exceed</v>
      </c>
      <c r="E1321" s="3" t="str">
        <f ca="1">IFERROR(__xludf.DUMMYFUNCTION("GOOGLETRANSLATE(B1321,""fr"",""en"")"),"She exceeds her teachers' expectations in mathematics.")</f>
        <v>She exceeds her teachers' expectations in mathematics.</v>
      </c>
    </row>
    <row r="1322" spans="1:5" x14ac:dyDescent="0.25">
      <c r="A1322" s="2" t="s">
        <v>3965</v>
      </c>
      <c r="B1322" s="2" t="s">
        <v>3966</v>
      </c>
      <c r="C1322" s="3" t="s">
        <v>3967</v>
      </c>
      <c r="D1322" s="3" t="str">
        <f ca="1">IFERROR(__xludf.DUMMYFUNCTION("GOOGLETRANSLATE(A1322,""fr"",""en"")"),"energize")</f>
        <v>energize</v>
      </c>
      <c r="E1322" s="3" t="str">
        <f ca="1">IFERROR(__xludf.DUMMYFUNCTION("GOOGLETRANSLATE(B1322,""fr"",""en"")"),"The new coach energizes the football team.")</f>
        <v>The new coach energizes the football team.</v>
      </c>
    </row>
    <row r="1323" spans="1:5" x14ac:dyDescent="0.25">
      <c r="A1323" s="2" t="s">
        <v>3968</v>
      </c>
      <c r="B1323" s="2" t="s">
        <v>3969</v>
      </c>
      <c r="C1323" s="3" t="s">
        <v>3970</v>
      </c>
      <c r="D1323" s="3" t="str">
        <f ca="1">IFERROR(__xludf.DUMMYFUNCTION("GOOGLETRANSLATE(A1323,""fr"",""en"")"),"urge")</f>
        <v>urge</v>
      </c>
      <c r="E1323" s="3" t="str">
        <f ca="1">IFERROR(__xludf.DUMMYFUNCTION("GOOGLETRANSLATE(B1323,""fr"",""en"")"),"He urges his colleagues to give their best.")</f>
        <v>He urges his colleagues to give their best.</v>
      </c>
    </row>
    <row r="1324" spans="1:5" x14ac:dyDescent="0.25">
      <c r="A1324" s="2" t="s">
        <v>3971</v>
      </c>
      <c r="B1324" s="2" t="s">
        <v>3972</v>
      </c>
      <c r="C1324" s="3" t="s">
        <v>3973</v>
      </c>
      <c r="D1324" s="3" t="str">
        <f ca="1">IFERROR(__xludf.DUMMYFUNCTION("GOOGLETRANSLATE(A1324,""fr"",""en"")"),"bet")</f>
        <v>bet</v>
      </c>
      <c r="E1324" s="3" t="str">
        <f ca="1">IFERROR(__xludf.DUMMYFUNCTION("GOOGLETRANSLATE(B1324,""fr"",""en"")"),"They bet on the outcome of the football match.")</f>
        <v>They bet on the outcome of the football match.</v>
      </c>
    </row>
    <row r="1325" spans="1:5" x14ac:dyDescent="0.25">
      <c r="A1325" s="2" t="s">
        <v>3974</v>
      </c>
      <c r="B1325" s="2" t="s">
        <v>3975</v>
      </c>
      <c r="C1325" s="3" t="s">
        <v>3976</v>
      </c>
      <c r="D1325" s="3" t="str">
        <f ca="1">IFERROR(__xludf.DUMMYFUNCTION("GOOGLETRANSLATE(A1325,""fr"",""en"")"),"sponsor")</f>
        <v>sponsor</v>
      </c>
      <c r="E1325" s="3" t="str">
        <f ca="1">IFERROR(__xludf.DUMMYFUNCTION("GOOGLETRANSLATE(B1325,""fr"",""en"")"),"The company sponsors the car racing team.")</f>
        <v>The company sponsors the car racing team.</v>
      </c>
    </row>
    <row r="1326" spans="1:5" x14ac:dyDescent="0.25">
      <c r="A1326" s="2" t="s">
        <v>3977</v>
      </c>
      <c r="B1326" s="2" t="s">
        <v>3978</v>
      </c>
      <c r="C1326" s="3" t="s">
        <v>3979</v>
      </c>
      <c r="D1326" s="3" t="str">
        <f ca="1">IFERROR(__xludf.DUMMYFUNCTION("GOOGLETRANSLATE(A1326,""fr"",""en"")"),"hesitate")</f>
        <v>hesitate</v>
      </c>
      <c r="E1326" s="3" t="str">
        <f ca="1">IFERROR(__xludf.DUMMYFUNCTION("GOOGLETRANSLATE(B1326,""fr"",""en"")"),"She hesitates before making an important decision.")</f>
        <v>She hesitates before making an important decision.</v>
      </c>
    </row>
    <row r="1327" spans="1:5" x14ac:dyDescent="0.25">
      <c r="A1327" s="2" t="s">
        <v>3980</v>
      </c>
      <c r="B1327" s="2" t="s">
        <v>3981</v>
      </c>
      <c r="C1327" s="3" t="s">
        <v>3982</v>
      </c>
      <c r="D1327" s="3" t="str">
        <f ca="1">IFERROR(__xludf.DUMMYFUNCTION("GOOGLETRANSLATE(A1327,""fr"",""en"")"),"resell")</f>
        <v>resell</v>
      </c>
      <c r="E1327" s="3" t="str">
        <f ca="1">IFERROR(__xludf.DUMMYFUNCTION("GOOGLETRANSLATE(B1327,""fr"",""en"")"),"They resell their old furniture on the Internet.")</f>
        <v>They resell their old furniture on the Internet.</v>
      </c>
    </row>
    <row r="1328" spans="1:5" x14ac:dyDescent="0.25">
      <c r="A1328" s="2" t="s">
        <v>3983</v>
      </c>
      <c r="B1328" s="2" t="s">
        <v>3984</v>
      </c>
      <c r="C1328" s="3" t="s">
        <v>3985</v>
      </c>
      <c r="D1328" s="3" t="str">
        <f ca="1">IFERROR(__xludf.DUMMYFUNCTION("GOOGLETRANSLATE(A1328,""fr"",""en"")"),"buckle")</f>
        <v>buckle</v>
      </c>
      <c r="E1328" s="3" t="str">
        <f ca="1">IFERROR(__xludf.DUMMYFUNCTION("GOOGLETRANSLATE(B1328,""fr"",""en"")"),"She curls her hair into a sleek ponytail.")</f>
        <v>She curls her hair into a sleek ponytail.</v>
      </c>
    </row>
    <row r="1329" spans="1:5" x14ac:dyDescent="0.25">
      <c r="A1329" s="2" t="s">
        <v>3986</v>
      </c>
      <c r="B1329" s="2" t="s">
        <v>3987</v>
      </c>
      <c r="C1329" s="3" t="s">
        <v>3988</v>
      </c>
      <c r="D1329" s="3" t="str">
        <f ca="1">IFERROR(__xludf.DUMMYFUNCTION("GOOGLETRANSLATE(A1329,""fr"",""en"")"),"sulfur")</f>
        <v>sulfur</v>
      </c>
      <c r="E1329" s="3" t="str">
        <f ca="1">IFERROR(__xludf.DUMMYFUNCTION("GOOGLETRANSLATE(B1329,""fr"",""en"")"),"They are suffering from the oppressive heat.")</f>
        <v>They are suffering from the oppressive heat.</v>
      </c>
    </row>
    <row r="1330" spans="1:5" x14ac:dyDescent="0.25">
      <c r="A1330" s="2" t="s">
        <v>3989</v>
      </c>
      <c r="B1330" s="2" t="s">
        <v>3990</v>
      </c>
      <c r="C1330" s="3" t="s">
        <v>3991</v>
      </c>
      <c r="D1330" s="3" t="str">
        <f ca="1">IFERROR(__xludf.DUMMYFUNCTION("GOOGLETRANSLATE(A1330,""fr"",""en"")"),"discern")</f>
        <v>discern</v>
      </c>
      <c r="E1330" s="3" t="str">
        <f ca="1">IFERROR(__xludf.DUMMYFUNCTION("GOOGLETRANSLATE(B1330,""fr"",""en"")"),"He discerns the truth behind appearances.")</f>
        <v>He discerns the truth behind appearances.</v>
      </c>
    </row>
    <row r="1331" spans="1:5" x14ac:dyDescent="0.25">
      <c r="A1331" s="2" t="s">
        <v>3992</v>
      </c>
      <c r="B1331" s="2" t="s">
        <v>3993</v>
      </c>
      <c r="C1331" s="3" t="s">
        <v>3994</v>
      </c>
      <c r="D1331" s="3" t="str">
        <f ca="1">IFERROR(__xludf.DUMMYFUNCTION("GOOGLETRANSLATE(A1331,""fr"",""en"")"),"to chapel")</f>
        <v>to chapel</v>
      </c>
      <c r="E1331" s="3" t="str">
        <f ca="1">IFERROR(__xludf.DUMMYFUNCTION("GOOGLETRANSLATE(B1331,""fr"",""en"")"),"She carefully chaplains her students.")</f>
        <v>She carefully chaplains her students.</v>
      </c>
    </row>
    <row r="1332" spans="1:5" x14ac:dyDescent="0.25">
      <c r="A1332" s="2" t="s">
        <v>3995</v>
      </c>
      <c r="B1332" s="2" t="s">
        <v>3996</v>
      </c>
      <c r="C1332" s="3" t="s">
        <v>3997</v>
      </c>
      <c r="D1332" s="3" t="str">
        <f ca="1">IFERROR(__xludf.DUMMYFUNCTION("GOOGLETRANSLATE(A1332,""fr"",""en"")"),"infiltrate")</f>
        <v>infiltrate</v>
      </c>
      <c r="E1332" s="3" t="str">
        <f ca="1">IFERROR(__xludf.DUMMYFUNCTION("GOOGLETRANSLATE(B1332,""fr"",""en"")"),"They infiltrated the network to collect confidential information.")</f>
        <v>They infiltrated the network to collect confidential information.</v>
      </c>
    </row>
    <row r="1333" spans="1:5" x14ac:dyDescent="0.25">
      <c r="A1333" s="2" t="s">
        <v>3998</v>
      </c>
      <c r="B1333" s="2" t="s">
        <v>3999</v>
      </c>
      <c r="C1333" s="3" t="s">
        <v>4000</v>
      </c>
      <c r="D1333" s="3" t="str">
        <f ca="1">IFERROR(__xludf.DUMMYFUNCTION("GOOGLETRANSLATE(A1333,""fr"",""en"")"),"to decide")</f>
        <v>to decide</v>
      </c>
      <c r="E1333" s="3" t="str">
        <f ca="1">IFERROR(__xludf.DUMMYFUNCTION("GOOGLETRANSLATE(B1333,""fr"",""en"")"),"The jury must decide on the guilt of the accused.")</f>
        <v>The jury must decide on the guilt of the accused.</v>
      </c>
    </row>
    <row r="1334" spans="1:5" x14ac:dyDescent="0.25">
      <c r="A1334" s="2" t="s">
        <v>4001</v>
      </c>
      <c r="B1334" s="2" t="s">
        <v>4002</v>
      </c>
      <c r="C1334" s="3" t="s">
        <v>4003</v>
      </c>
      <c r="D1334" s="3" t="str">
        <f ca="1">IFERROR(__xludf.DUMMYFUNCTION("GOOGLETRANSLATE(A1334,""fr"",""en"")"),"generalize")</f>
        <v>generalize</v>
      </c>
      <c r="E1334" s="3" t="str">
        <f ca="1">IFERROR(__xludf.DUMMYFUNCTION("GOOGLETRANSLATE(B1334,""fr"",""en"")"),"They generalize their conclusions to the entire population.")</f>
        <v>They generalize their conclusions to the entire population.</v>
      </c>
    </row>
    <row r="1335" spans="1:5" x14ac:dyDescent="0.25">
      <c r="A1335" s="2" t="s">
        <v>4004</v>
      </c>
      <c r="B1335" s="2" t="s">
        <v>4005</v>
      </c>
      <c r="C1335" s="3" t="s">
        <v>4006</v>
      </c>
      <c r="D1335" s="3" t="str">
        <f ca="1">IFERROR(__xludf.DUMMYFUNCTION("GOOGLETRANSLATE(A1335,""fr"",""en"")"),"shorten")</f>
        <v>shorten</v>
      </c>
      <c r="E1335" s="3" t="str">
        <f ca="1">IFERROR(__xludf.DUMMYFUNCTION("GOOGLETRANSLATE(B1335,""fr"",""en"")"),"He shortens the road to arrive faster.")</f>
        <v>He shortens the road to arrive faster.</v>
      </c>
    </row>
    <row r="1336" spans="1:5" x14ac:dyDescent="0.25">
      <c r="A1336" s="2" t="s">
        <v>4007</v>
      </c>
      <c r="B1336" s="2" t="s">
        <v>4008</v>
      </c>
      <c r="C1336" s="3" t="s">
        <v>4009</v>
      </c>
      <c r="D1336" s="3" t="str">
        <f ca="1">IFERROR(__xludf.DUMMYFUNCTION("GOOGLETRANSLATE(A1336,""fr"",""en"")"),"lester")</f>
        <v>lester</v>
      </c>
      <c r="E1336" s="3" t="str">
        <f ca="1">IFERROR(__xludf.DUMMYFUNCTION("GOOGLETRANSLATE(B1336,""fr"",""en"")"),"They weight the balloon so it doesn't fly away.")</f>
        <v>They weight the balloon so it doesn't fly away.</v>
      </c>
    </row>
    <row r="1337" spans="1:5" x14ac:dyDescent="0.25">
      <c r="A1337" s="2" t="s">
        <v>4010</v>
      </c>
      <c r="B1337" s="2" t="s">
        <v>4011</v>
      </c>
      <c r="C1337" s="3" t="s">
        <v>4012</v>
      </c>
      <c r="D1337" s="3" t="str">
        <f ca="1">IFERROR(__xludf.DUMMYFUNCTION("GOOGLETRANSLATE(A1337,""fr"",""en"")"),"to bite")</f>
        <v>to bite</v>
      </c>
      <c r="E1337" s="3" t="str">
        <f ca="1">IFERROR(__xludf.DUMMYFUNCTION("GOOGLETRANSLATE(B1337,""fr"",""en"")"),"The dog bit the postman by accident.")</f>
        <v>The dog bit the postman by accident.</v>
      </c>
    </row>
    <row r="1338" spans="1:5" x14ac:dyDescent="0.25">
      <c r="A1338" s="2" t="s">
        <v>4013</v>
      </c>
      <c r="B1338" s="2" t="s">
        <v>4014</v>
      </c>
      <c r="C1338" s="3" t="s">
        <v>4015</v>
      </c>
      <c r="D1338" s="3" t="str">
        <f ca="1">IFERROR(__xludf.DUMMYFUNCTION("GOOGLETRANSLATE(A1338,""fr"",""en"")"),"shake")</f>
        <v>shake</v>
      </c>
      <c r="E1338" s="3" t="str">
        <f ca="1">IFERROR(__xludf.DUMMYFUNCTION("GOOGLETRANSLATE(B1338,""fr"",""en"")"),"She shakes the box to mix the ingredients.")</f>
        <v>She shakes the box to mix the ingredients.</v>
      </c>
    </row>
    <row r="1339" spans="1:5" x14ac:dyDescent="0.25">
      <c r="A1339" s="2" t="s">
        <v>4016</v>
      </c>
      <c r="B1339" s="2" t="s">
        <v>4017</v>
      </c>
      <c r="C1339" s="3" t="s">
        <v>4018</v>
      </c>
      <c r="D1339" s="3" t="str">
        <f ca="1">IFERROR(__xludf.DUMMYFUNCTION("GOOGLETRANSLATE(A1339,""fr"",""en"")"),"float")</f>
        <v>float</v>
      </c>
      <c r="E1339" s="3" t="str">
        <f ca="1">IFERROR(__xludf.DUMMYFUNCTION("GOOGLETRANSLATE(B1339,""fr"",""en"")"),"Dead leaves float on the surface of the water.")</f>
        <v>Dead leaves float on the surface of the water.</v>
      </c>
    </row>
    <row r="1340" spans="1:5" x14ac:dyDescent="0.25">
      <c r="A1340" s="2" t="s">
        <v>4019</v>
      </c>
      <c r="B1340" s="2" t="s">
        <v>4020</v>
      </c>
      <c r="C1340" s="3" t="s">
        <v>4021</v>
      </c>
      <c r="D1340" s="3" t="str">
        <f ca="1">IFERROR(__xludf.DUMMYFUNCTION("GOOGLETRANSLATE(A1340,""fr"",""en"")"),"to deplore")</f>
        <v>to deplore</v>
      </c>
      <c r="E1340" s="3" t="str">
        <f ca="1">IFERROR(__xludf.DUMMYFUNCTION("GOOGLETRANSLATE(B1340,""fr"",""en"")"),"They mourn the loss of their close friend.")</f>
        <v>They mourn the loss of their close friend.</v>
      </c>
    </row>
    <row r="1341" spans="1:5" x14ac:dyDescent="0.25">
      <c r="A1341" s="2" t="s">
        <v>4022</v>
      </c>
      <c r="B1341" s="2" t="s">
        <v>4023</v>
      </c>
      <c r="C1341" s="3" t="s">
        <v>4024</v>
      </c>
      <c r="D1341" s="3" t="str">
        <f ca="1">IFERROR(__xludf.DUMMYFUNCTION("GOOGLETRANSLATE(A1341,""fr"",""en"")"),"bother")</f>
        <v>bother</v>
      </c>
      <c r="E1341" s="3" t="str">
        <f ca="1">IFERROR(__xludf.DUMMYFUNCTION("GOOGLETRANSLATE(B1341,""fr"",""en"")"),"Don't bother me while I'm working.")</f>
        <v>Don't bother me while I'm working.</v>
      </c>
    </row>
    <row r="1342" spans="1:5" x14ac:dyDescent="0.25">
      <c r="A1342" s="2" t="s">
        <v>4025</v>
      </c>
      <c r="B1342" s="2" t="s">
        <v>4026</v>
      </c>
      <c r="C1342" s="3" t="s">
        <v>4027</v>
      </c>
      <c r="D1342" s="3" t="str">
        <f ca="1">IFERROR(__xludf.DUMMYFUNCTION("GOOGLETRANSLATE(A1342,""fr"",""en"")"),"give birth")</f>
        <v>give birth</v>
      </c>
      <c r="E1342" s="3" t="str">
        <f ca="1">IFERROR(__xludf.DUMMYFUNCTION("GOOGLETRANSLATE(B1342,""fr"",""en"")"),"She gives birth to a beautiful, healthy baby.")</f>
        <v>She gives birth to a beautiful, healthy baby.</v>
      </c>
    </row>
    <row r="1343" spans="1:5" x14ac:dyDescent="0.25">
      <c r="A1343" s="2" t="s">
        <v>4028</v>
      </c>
      <c r="B1343" s="2" t="s">
        <v>4029</v>
      </c>
      <c r="C1343" s="3" t="s">
        <v>4030</v>
      </c>
      <c r="D1343" s="3" t="str">
        <f ca="1">IFERROR(__xludf.DUMMYFUNCTION("GOOGLETRANSLATE(A1343,""fr"",""en"")"),"ring")</f>
        <v>ring</v>
      </c>
      <c r="E1343" s="3" t="str">
        <f ca="1">IFERROR(__xludf.DUMMYFUNCTION("GOOGLETRANSLATE(B1343,""fr"",""en"")"),"The bell rings to announce the end of class.")</f>
        <v>The bell rings to announce the end of class.</v>
      </c>
    </row>
    <row r="1344" spans="1:5" x14ac:dyDescent="0.25">
      <c r="A1344" s="2" t="s">
        <v>4031</v>
      </c>
      <c r="B1344" s="2" t="s">
        <v>4032</v>
      </c>
      <c r="C1344" s="3" t="s">
        <v>4033</v>
      </c>
      <c r="D1344" s="3" t="str">
        <f ca="1">IFERROR(__xludf.DUMMYFUNCTION("GOOGLETRANSLATE(A1344,""fr"",""en"")"),"to clean up")</f>
        <v>to clean up</v>
      </c>
      <c r="E1344" s="3" t="str">
        <f ca="1">IFERROR(__xludf.DUMMYFUNCTION("GOOGLETRANSLATE(B1344,""fr"",""en"")"),"They clean up the neighborhood by cleaning the streets.")</f>
        <v>They clean up the neighborhood by cleaning the streets.</v>
      </c>
    </row>
    <row r="1345" spans="1:5" x14ac:dyDescent="0.25">
      <c r="A1345" s="2" t="s">
        <v>4034</v>
      </c>
      <c r="B1345" s="2" t="s">
        <v>4035</v>
      </c>
      <c r="C1345" s="3" t="s">
        <v>4036</v>
      </c>
      <c r="D1345" s="3" t="str">
        <f ca="1">IFERROR(__xludf.DUMMYFUNCTION("GOOGLETRANSLATE(A1345,""fr"",""en"")"),"jasper")</f>
        <v>jasper</v>
      </c>
      <c r="E1345" s="3" t="str">
        <f ca="1">IFERROR(__xludf.DUMMYFUNCTION("GOOGLETRANSLATE(B1345,""fr"",""en"")"),"He scoured the ground to make it a smooth surface.")</f>
        <v>He scoured the ground to make it a smooth surface.</v>
      </c>
    </row>
    <row r="1346" spans="1:5" x14ac:dyDescent="0.25">
      <c r="A1346" s="2" t="s">
        <v>4037</v>
      </c>
      <c r="B1346" s="2" t="s">
        <v>4038</v>
      </c>
      <c r="C1346" s="3" t="s">
        <v>4039</v>
      </c>
      <c r="D1346" s="3" t="str">
        <f ca="1">IFERROR(__xludf.DUMMYFUNCTION("GOOGLETRANSLATE(A1346,""fr"",""en"")"),"attest")</f>
        <v>attest</v>
      </c>
      <c r="E1346" s="3" t="str">
        <f ca="1">IFERROR(__xludf.DUMMYFUNCTION("GOOGLETRANSLATE(B1346,""fr"",""en"")"),"They attest to his innocence before the court.")</f>
        <v>They attest to his innocence before the court.</v>
      </c>
    </row>
    <row r="1347" spans="1:5" x14ac:dyDescent="0.25">
      <c r="A1347" s="2" t="s">
        <v>4040</v>
      </c>
      <c r="B1347" s="2" t="s">
        <v>4041</v>
      </c>
      <c r="C1347" s="3" t="s">
        <v>4042</v>
      </c>
      <c r="D1347" s="3" t="str">
        <f ca="1">IFERROR(__xludf.DUMMYFUNCTION("GOOGLETRANSLATE(A1347,""fr"",""en"")"),"stretch")</f>
        <v>stretch</v>
      </c>
      <c r="E1347" s="3" t="str">
        <f ca="1">IFERROR(__xludf.DUMMYFUNCTION("GOOGLETRANSLATE(B1347,""fr"",""en"")"),"She stretches her muscles after a long period of inactivity.")</f>
        <v>She stretches her muscles after a long period of inactivity.</v>
      </c>
    </row>
    <row r="1348" spans="1:5" x14ac:dyDescent="0.25">
      <c r="A1348" s="2" t="s">
        <v>4043</v>
      </c>
      <c r="B1348" s="2" t="s">
        <v>4044</v>
      </c>
      <c r="C1348" s="3" t="s">
        <v>4045</v>
      </c>
      <c r="D1348" s="3" t="str">
        <f ca="1">IFERROR(__xludf.DUMMYFUNCTION("GOOGLETRANSLATE(A1348,""fr"",""en"")"),"replace")</f>
        <v>replace</v>
      </c>
      <c r="E1348" s="3" t="str">
        <f ca="1">IFERROR(__xludf.DUMMYFUNCTION("GOOGLETRANSLATE(B1348,""fr"",""en"")"),"They put the furniture back in the room after cleaning.")</f>
        <v>They put the furniture back in the room after cleaning.</v>
      </c>
    </row>
    <row r="1349" spans="1:5" x14ac:dyDescent="0.25">
      <c r="A1349" s="2" t="s">
        <v>4046</v>
      </c>
      <c r="B1349" s="2" t="s">
        <v>4047</v>
      </c>
      <c r="C1349" s="3" t="s">
        <v>4048</v>
      </c>
      <c r="D1349" s="3" t="str">
        <f ca="1">IFERROR(__xludf.DUMMYFUNCTION("GOOGLETRANSLATE(A1349,""fr"",""en"")"),"store")</f>
        <v>store</v>
      </c>
      <c r="E1349" s="3" t="str">
        <f ca="1">IFERROR(__xludf.DUMMYFUNCTION("GOOGLETRANSLATE(B1349,""fr"",""en"")"),"They store the supplies in the garage.")</f>
        <v>They store the supplies in the garage.</v>
      </c>
    </row>
    <row r="1350" spans="1:5" x14ac:dyDescent="0.25">
      <c r="A1350" s="2" t="s">
        <v>4049</v>
      </c>
      <c r="B1350" s="2" t="s">
        <v>4050</v>
      </c>
      <c r="C1350" s="3" t="s">
        <v>4051</v>
      </c>
      <c r="D1350" s="3" t="str">
        <f ca="1">IFERROR(__xludf.DUMMYFUNCTION("GOOGLETRANSLATE(A1350,""fr"",""en"")"),"to attempt")</f>
        <v>to attempt</v>
      </c>
      <c r="E1350" s="3" t="str">
        <f ca="1">IFERROR(__xludf.DUMMYFUNCTION("GOOGLETRANSLATE(B1350,""fr"",""en"")"),"He is suing the company for discrimination.")</f>
        <v>He is suing the company for discrimination.</v>
      </c>
    </row>
    <row r="1351" spans="1:5" x14ac:dyDescent="0.25">
      <c r="A1351" s="2" t="s">
        <v>4052</v>
      </c>
      <c r="B1351" s="2" t="s">
        <v>4053</v>
      </c>
      <c r="C1351" s="3" t="s">
        <v>4054</v>
      </c>
      <c r="D1351" s="3" t="str">
        <f ca="1">IFERROR(__xludf.DUMMYFUNCTION("GOOGLETRANSLATE(A1351,""fr"",""en"")"),"deform")</f>
        <v>deform</v>
      </c>
      <c r="E1351" s="3" t="str">
        <f ca="1">IFERROR(__xludf.DUMMYFUNCTION("GOOGLETRANSLATE(B1351,""fr"",""en"")"),"Mirrors sometimes distort reality.")</f>
        <v>Mirrors sometimes distort reality.</v>
      </c>
    </row>
    <row r="1352" spans="1:5" x14ac:dyDescent="0.25">
      <c r="A1352" s="2" t="s">
        <v>4055</v>
      </c>
      <c r="B1352" s="2" t="s">
        <v>4056</v>
      </c>
      <c r="C1352" s="3" t="s">
        <v>4057</v>
      </c>
      <c r="D1352" s="3" t="str">
        <f ca="1">IFERROR(__xludf.DUMMYFUNCTION("GOOGLETRANSLATE(A1352,""fr"",""en"")"),"fall back")</f>
        <v>fall back</v>
      </c>
      <c r="E1352" s="3" t="str">
        <f ca="1">IFERROR(__xludf.DUMMYFUNCTION("GOOGLETRANSLATE(B1352,""fr"",""en"")"),"They fall in love with each other again after years.")</f>
        <v>They fall in love with each other again after years.</v>
      </c>
    </row>
    <row r="1353" spans="1:5" x14ac:dyDescent="0.25">
      <c r="A1353" s="2" t="s">
        <v>4058</v>
      </c>
      <c r="B1353" s="2" t="s">
        <v>4059</v>
      </c>
      <c r="C1353" s="3" t="s">
        <v>4060</v>
      </c>
      <c r="D1353" s="3" t="str">
        <f ca="1">IFERROR(__xludf.DUMMYFUNCTION("GOOGLETRANSLATE(A1353,""fr"",""en"")"),"standardize")</f>
        <v>standardize</v>
      </c>
      <c r="E1353" s="3" t="str">
        <f ca="1">IFERROR(__xludf.DUMMYFUNCTION("GOOGLETRANSLATE(B1353,""fr"",""en"")"),"It evens out the color of the walls throughout the house.")</f>
        <v>It evens out the color of the walls throughout the house.</v>
      </c>
    </row>
    <row r="1354" spans="1:5" x14ac:dyDescent="0.25">
      <c r="A1354" s="2" t="s">
        <v>4061</v>
      </c>
      <c r="B1354" s="2" t="s">
        <v>4062</v>
      </c>
      <c r="C1354" s="3" t="s">
        <v>4063</v>
      </c>
      <c r="D1354" s="3" t="str">
        <f ca="1">IFERROR(__xludf.DUMMYFUNCTION("GOOGLETRANSLATE(A1354,""fr"",""en"")"),"shave")</f>
        <v>shave</v>
      </c>
      <c r="E1354" s="3" t="str">
        <f ca="1">IFERROR(__xludf.DUMMYFUNCTION("GOOGLETRANSLATE(B1354,""fr"",""en"")"),"He shaves his beard every morning.")</f>
        <v>He shaves his beard every morning.</v>
      </c>
    </row>
    <row r="1355" spans="1:5" x14ac:dyDescent="0.25">
      <c r="A1355" s="2" t="s">
        <v>4064</v>
      </c>
      <c r="B1355" s="2" t="s">
        <v>4065</v>
      </c>
      <c r="C1355" s="3" t="s">
        <v>4066</v>
      </c>
      <c r="D1355" s="3" t="str">
        <f ca="1">IFERROR(__xludf.DUMMYFUNCTION("GOOGLETRANSLATE(A1355,""fr"",""en"")"),"endure")</f>
        <v>endure</v>
      </c>
      <c r="E1355" s="3" t="str">
        <f ca="1">IFERROR(__xludf.DUMMYFUNCTION("GOOGLETRANSLATE(B1355,""fr"",""en"")"),"She endures the pain with courage.")</f>
        <v>She endures the pain with courage.</v>
      </c>
    </row>
    <row r="1356" spans="1:5" x14ac:dyDescent="0.25">
      <c r="A1356" s="2" t="s">
        <v>4067</v>
      </c>
      <c r="B1356" s="2" t="s">
        <v>4068</v>
      </c>
      <c r="C1356" s="3" t="s">
        <v>4069</v>
      </c>
      <c r="D1356" s="3" t="str">
        <f ca="1">IFERROR(__xludf.DUMMYFUNCTION("GOOGLETRANSLATE(A1356,""fr"",""en"")"),"insult")</f>
        <v>insult</v>
      </c>
      <c r="E1356" s="3" t="str">
        <f ca="1">IFERROR(__xludf.DUMMYFUNCTION("GOOGLETRANSLATE(B1356,""fr"",""en"")"),"He insults her for no apparent reason.")</f>
        <v>He insults her for no apparent reason.</v>
      </c>
    </row>
    <row r="1357" spans="1:5" x14ac:dyDescent="0.25">
      <c r="A1357" s="2" t="s">
        <v>4070</v>
      </c>
      <c r="B1357" s="2" t="s">
        <v>4071</v>
      </c>
      <c r="C1357" s="3" t="s">
        <v>4072</v>
      </c>
      <c r="D1357" s="3" t="str">
        <f ca="1">IFERROR(__xludf.DUMMYFUNCTION("GOOGLETRANSLATE(A1357,""fr"",""en"")"),"mist")</f>
        <v>mist</v>
      </c>
      <c r="E1357" s="3" t="str">
        <f ca="1">IFERROR(__xludf.DUMMYFUNCTION("GOOGLETRANSLATE(B1357,""fr"",""en"")"),"Fog clouds the view of the city.")</f>
        <v>Fog clouds the view of the city.</v>
      </c>
    </row>
    <row r="1358" spans="1:5" x14ac:dyDescent="0.25">
      <c r="A1358" s="2" t="s">
        <v>4073</v>
      </c>
      <c r="B1358" s="2" t="s">
        <v>4074</v>
      </c>
      <c r="C1358" s="3" t="s">
        <v>4075</v>
      </c>
      <c r="D1358" s="3" t="str">
        <f ca="1">IFERROR(__xludf.DUMMYFUNCTION("GOOGLETRANSLATE(A1358,""fr"",""en"")"),"fall")</f>
        <v>fall</v>
      </c>
      <c r="E1358" s="3" t="str">
        <f ca="1">IFERROR(__xludf.DUMMYFUNCTION("GOOGLETRANSLATE(B1358,""fr"",""en"")"),"She falls while skating on the ice.")</f>
        <v>She falls while skating on the ice.</v>
      </c>
    </row>
    <row r="1359" spans="1:5" x14ac:dyDescent="0.25">
      <c r="A1359" s="2" t="s">
        <v>4076</v>
      </c>
      <c r="B1359" s="2" t="s">
        <v>4077</v>
      </c>
      <c r="C1359" s="3" t="s">
        <v>4078</v>
      </c>
      <c r="D1359" s="3" t="str">
        <f ca="1">IFERROR(__xludf.DUMMYFUNCTION("GOOGLETRANSLATE(A1359,""fr"",""en"")"),"refute")</f>
        <v>refute</v>
      </c>
      <c r="E1359" s="3" t="str">
        <f ca="1">IFERROR(__xludf.DUMMYFUNCTION("GOOGLETRANSLATE(B1359,""fr"",""en"")"),"He strongly refutes this theory.")</f>
        <v>He strongly refutes this theory.</v>
      </c>
    </row>
    <row r="1360" spans="1:5" x14ac:dyDescent="0.25">
      <c r="A1360" s="2" t="s">
        <v>4079</v>
      </c>
      <c r="B1360" s="2" t="s">
        <v>4080</v>
      </c>
      <c r="C1360" s="3" t="s">
        <v>4081</v>
      </c>
      <c r="D1360" s="3" t="str">
        <f ca="1">IFERROR(__xludf.DUMMYFUNCTION("GOOGLETRANSLATE(A1360,""fr"",""en"")"),"rescue")</f>
        <v>rescue</v>
      </c>
      <c r="E1360" s="3" t="str">
        <f ca="1">IFERROR(__xludf.DUMMYFUNCTION("GOOGLETRANSLATE(B1360,""fr"",""en"")"),"They rescue victims after the earthquake.")</f>
        <v>They rescue victims after the earthquake.</v>
      </c>
    </row>
    <row r="1361" spans="1:5" x14ac:dyDescent="0.25">
      <c r="A1361" s="2" t="s">
        <v>4082</v>
      </c>
      <c r="B1361" s="2" t="s">
        <v>4083</v>
      </c>
      <c r="C1361" s="3" t="s">
        <v>4084</v>
      </c>
      <c r="D1361" s="3" t="str">
        <f ca="1">IFERROR(__xludf.DUMMYFUNCTION("GOOGLETRANSLATE(A1361,""fr"",""en"")"),"tarpaulin")</f>
        <v>tarpaulin</v>
      </c>
      <c r="E1361" s="3" t="str">
        <f ca="1">IFERROR(__xludf.DUMMYFUNCTION("GOOGLETRANSLATE(B1361,""fr"",""en"")"),"He covers the car to protect it from the rain.")</f>
        <v>He covers the car to protect it from the rain.</v>
      </c>
    </row>
    <row r="1362" spans="1:5" x14ac:dyDescent="0.25">
      <c r="A1362" s="2" t="s">
        <v>4085</v>
      </c>
      <c r="B1362" s="2" t="s">
        <v>4086</v>
      </c>
      <c r="C1362" s="3" t="s">
        <v>4087</v>
      </c>
      <c r="D1362" s="3" t="str">
        <f ca="1">IFERROR(__xludf.DUMMYFUNCTION("GOOGLETRANSLATE(A1362,""fr"",""en"")"),"stir")</f>
        <v>stir</v>
      </c>
      <c r="E1362" s="3" t="str">
        <f ca="1">IFERROR(__xludf.DUMMYFUNCTION("GOOGLETRANSLATE(B1362,""fr"",""en"")"),"She stirs the mixture before pouring it into the mold.")</f>
        <v>She stirs the mixture before pouring it into the mold.</v>
      </c>
    </row>
    <row r="1363" spans="1:5" x14ac:dyDescent="0.25">
      <c r="A1363" s="2" t="s">
        <v>4088</v>
      </c>
      <c r="B1363" s="2" t="s">
        <v>4089</v>
      </c>
      <c r="C1363" s="3" t="s">
        <v>4090</v>
      </c>
      <c r="D1363" s="3" t="str">
        <f ca="1">IFERROR(__xludf.DUMMYFUNCTION("GOOGLETRANSLATE(A1363,""fr"",""en"")"),"to say again")</f>
        <v>to say again</v>
      </c>
      <c r="E1363" s="3" t="str">
        <f ca="1">IFERROR(__xludf.DUMMYFUNCTION("GOOGLETRANSLATE(B1363,""fr"",""en"")"),"He repeats his words to make sure he has been understood.")</f>
        <v>He repeats his words to make sure he has been understood.</v>
      </c>
    </row>
    <row r="1364" spans="1:5" x14ac:dyDescent="0.25">
      <c r="A1364" s="2" t="s">
        <v>4091</v>
      </c>
      <c r="B1364" s="2" t="s">
        <v>4092</v>
      </c>
      <c r="C1364" s="3" t="s">
        <v>4093</v>
      </c>
      <c r="D1364" s="3" t="str">
        <f ca="1">IFERROR(__xludf.DUMMYFUNCTION("GOOGLETRANSLATE(A1364,""fr"",""en"")"),"to yell")</f>
        <v>to yell</v>
      </c>
      <c r="E1364" s="3" t="str">
        <f ca="1">IFERROR(__xludf.DUMMYFUNCTION("GOOGLETRANSLATE(B1364,""fr"",""en"")"),"She screams with joy when she sees the birthday present.")</f>
        <v>She screams with joy when she sees the birthday present.</v>
      </c>
    </row>
    <row r="1365" spans="1:5" x14ac:dyDescent="0.25">
      <c r="A1365" s="2" t="s">
        <v>4094</v>
      </c>
      <c r="B1365" s="2" t="s">
        <v>4095</v>
      </c>
      <c r="C1365" s="3" t="s">
        <v>4096</v>
      </c>
      <c r="D1365" s="3" t="str">
        <f ca="1">IFERROR(__xludf.DUMMYFUNCTION("GOOGLETRANSLATE(A1365,""fr"",""en"")"),"exhaust")</f>
        <v>exhaust</v>
      </c>
      <c r="E1365" s="3" t="str">
        <f ca="1">IFERROR(__xludf.DUMMYFUNCTION("GOOGLETRANSLATE(B1365,""fr"",""en"")"),"They exhaust themselves running a marathon.")</f>
        <v>They exhaust themselves running a marathon.</v>
      </c>
    </row>
    <row r="1366" spans="1:5" x14ac:dyDescent="0.25">
      <c r="A1366" s="2" t="s">
        <v>4097</v>
      </c>
      <c r="B1366" s="2" t="s">
        <v>4098</v>
      </c>
      <c r="C1366" s="3" t="s">
        <v>4099</v>
      </c>
      <c r="D1366" s="3" t="str">
        <f ca="1">IFERROR(__xludf.DUMMYFUNCTION("GOOGLETRANSLATE(A1366,""fr"",""en"")"),"question")</f>
        <v>question</v>
      </c>
      <c r="E1366" s="3" t="str">
        <f ca="1">IFERROR(__xludf.DUMMYFUNCTION("GOOGLETRANSLATE(B1366,""fr"",""en"")"),"The detective questions the witness to obtain information.")</f>
        <v>The detective questions the witness to obtain information.</v>
      </c>
    </row>
    <row r="1367" spans="1:5" x14ac:dyDescent="0.25">
      <c r="A1367" s="2" t="s">
        <v>4100</v>
      </c>
      <c r="B1367" s="2" t="s">
        <v>4101</v>
      </c>
      <c r="C1367" s="3" t="s">
        <v>4102</v>
      </c>
      <c r="D1367" s="3" t="str">
        <f ca="1">IFERROR(__xludf.DUMMYFUNCTION("GOOGLETRANSLATE(A1367,""fr"",""en"")"),"to unravel")</f>
        <v>to unravel</v>
      </c>
      <c r="E1367" s="3" t="str">
        <f ca="1">IFERROR(__xludf.DUMMYFUNCTION("GOOGLETRANSLATE(B1367,""fr"",""en"")"),"He's sifting beans to make dinner.")</f>
        <v>He's sifting beans to make dinner.</v>
      </c>
    </row>
    <row r="1368" spans="1:5" x14ac:dyDescent="0.25">
      <c r="A1368" s="2" t="s">
        <v>4103</v>
      </c>
      <c r="B1368" s="2" t="s">
        <v>4104</v>
      </c>
      <c r="C1368" s="3" t="s">
        <v>4105</v>
      </c>
      <c r="D1368" s="3" t="str">
        <f ca="1">IFERROR(__xludf.DUMMYFUNCTION("GOOGLETRANSLATE(A1368,""fr"",""en"")"),"to degrade")</f>
        <v>to degrade</v>
      </c>
      <c r="E1368" s="3" t="str">
        <f ca="1">IFERROR(__xludf.DUMMYFUNCTION("GOOGLETRANSLATE(B1368,""fr"",""en"")"),"""She grinds the peppers to make a hot sauce.""")</f>
        <v>"She grinds the peppers to make a hot sauce."</v>
      </c>
    </row>
    <row r="1369" spans="1:5" x14ac:dyDescent="0.25">
      <c r="A1369" s="2" t="s">
        <v>4106</v>
      </c>
      <c r="B1369" s="2" t="s">
        <v>4107</v>
      </c>
      <c r="C1369" s="3" t="s">
        <v>4108</v>
      </c>
      <c r="D1369" s="3" t="str">
        <f ca="1">IFERROR(__xludf.DUMMYFUNCTION("GOOGLETRANSLATE(A1369,""fr"",""en"")"),"to argue")</f>
        <v>to argue</v>
      </c>
      <c r="E1369" s="3" t="str">
        <f ca="1">IFERROR(__xludf.DUMMYFUNCTION("GOOGLETRANSLATE(B1369,""fr"",""en"")"),"They often argue about political issues.")</f>
        <v>They often argue about political issues.</v>
      </c>
    </row>
    <row r="1370" spans="1:5" x14ac:dyDescent="0.25">
      <c r="A1370" s="2" t="s">
        <v>4109</v>
      </c>
      <c r="B1370" s="2" t="s">
        <v>4110</v>
      </c>
      <c r="C1370" s="3" t="s">
        <v>4111</v>
      </c>
      <c r="D1370" s="3" t="str">
        <f ca="1">IFERROR(__xludf.DUMMYFUNCTION("GOOGLETRANSLATE(A1370,""fr"",""en"")"),"dilute")</f>
        <v>dilute</v>
      </c>
      <c r="E1370" s="3" t="str">
        <f ca="1">IFERROR(__xludf.DUMMYFUNCTION("GOOGLETRANSLATE(B1370,""fr"",""en"")"),"She dilutes the paint to get the right shade.")</f>
        <v>She dilutes the paint to get the right shade.</v>
      </c>
    </row>
    <row r="1371" spans="1:5" x14ac:dyDescent="0.25">
      <c r="A1371" s="2" t="s">
        <v>4112</v>
      </c>
      <c r="B1371" s="2" t="s">
        <v>4113</v>
      </c>
      <c r="C1371" s="3" t="s">
        <v>4114</v>
      </c>
      <c r="D1371" s="3" t="str">
        <f ca="1">IFERROR(__xludf.DUMMYFUNCTION("GOOGLETRANSLATE(A1371,""fr"",""en"")"),"unify")</f>
        <v>unify</v>
      </c>
      <c r="E1371" s="3" t="str">
        <f ca="1">IFERROR(__xludf.DUMMYFUNCTION("GOOGLETRANSLATE(B1371,""fr"",""en"")"),"They join forces to achieve their common goal.")</f>
        <v>They join forces to achieve their common goal.</v>
      </c>
    </row>
    <row r="1372" spans="1:5" x14ac:dyDescent="0.25">
      <c r="A1372" s="2" t="s">
        <v>4115</v>
      </c>
      <c r="B1372" s="2" t="s">
        <v>4116</v>
      </c>
      <c r="C1372" s="3" t="s">
        <v>4117</v>
      </c>
      <c r="D1372" s="3" t="str">
        <f ca="1">IFERROR(__xludf.DUMMYFUNCTION("GOOGLETRANSLATE(A1372,""fr"",""en"")"),"polish")</f>
        <v>polish</v>
      </c>
      <c r="E1372" s="3" t="str">
        <f ca="1">IFERROR(__xludf.DUMMYFUNCTION("GOOGLETRANSLATE(B1372,""fr"",""en"")"),"It polishes the surface of the wood to make it smooth.")</f>
        <v>It polishes the surface of the wood to make it smooth.</v>
      </c>
    </row>
    <row r="1373" spans="1:5" x14ac:dyDescent="0.25">
      <c r="A1373" s="2" t="s">
        <v>4118</v>
      </c>
      <c r="B1373" s="2" t="s">
        <v>4119</v>
      </c>
      <c r="C1373" s="3" t="s">
        <v>4120</v>
      </c>
      <c r="D1373" s="3" t="str">
        <f ca="1">IFERROR(__xludf.DUMMYFUNCTION("GOOGLETRANSLATE(A1373,""fr"",""en"")"),"anchor")</f>
        <v>anchor</v>
      </c>
      <c r="E1373" s="3" t="str">
        <f ca="1">IFERROR(__xludf.DUMMYFUNCTION("GOOGLETRANSLATE(B1373,""fr"",""en"")"),"They anchor the boat to the dock before leaving.")</f>
        <v>They anchor the boat to the dock before leaving.</v>
      </c>
    </row>
    <row r="1374" spans="1:5" x14ac:dyDescent="0.25">
      <c r="A1374" s="2" t="s">
        <v>4121</v>
      </c>
      <c r="B1374" s="2" t="s">
        <v>4122</v>
      </c>
      <c r="C1374" s="3" t="s">
        <v>4123</v>
      </c>
      <c r="D1374" s="3" t="str">
        <f ca="1">IFERROR(__xludf.DUMMYFUNCTION("GOOGLETRANSLATE(A1374,""fr"",""en"")"),"garnish")</f>
        <v>garnish</v>
      </c>
      <c r="E1374" s="3" t="str">
        <f ca="1">IFERROR(__xludf.DUMMYFUNCTION("GOOGLETRANSLATE(B1374,""fr"",""en"")"),"She garnishes the tart with fresh fruit before baking it.")</f>
        <v>She garnishes the tart with fresh fruit before baking it.</v>
      </c>
    </row>
    <row r="1375" spans="1:5" x14ac:dyDescent="0.25">
      <c r="A1375" s="2" t="s">
        <v>4124</v>
      </c>
      <c r="B1375" s="2" t="s">
        <v>4125</v>
      </c>
      <c r="C1375" s="3" t="s">
        <v>4126</v>
      </c>
      <c r="D1375" s="3" t="str">
        <f ca="1">IFERROR(__xludf.DUMMYFUNCTION("GOOGLETRANSLATE(A1375,""fr"",""en"")"),"liberalize")</f>
        <v>liberalize</v>
      </c>
      <c r="E1375" s="3" t="str">
        <f ca="1">IFERROR(__xludf.DUMMYFUNCTION("GOOGLETRANSLATE(B1375,""fr"",""en"")"),"The government has decided to liberalize the labor market.")</f>
        <v>The government has decided to liberalize the labor market.</v>
      </c>
    </row>
    <row r="1376" spans="1:5" x14ac:dyDescent="0.25">
      <c r="A1376" s="2" t="s">
        <v>4127</v>
      </c>
      <c r="B1376" s="2" t="s">
        <v>4128</v>
      </c>
      <c r="C1376" s="3" t="s">
        <v>4129</v>
      </c>
      <c r="D1376" s="3" t="str">
        <f ca="1">IFERROR(__xludf.DUMMYFUNCTION("GOOGLETRANSLATE(A1376,""fr"",""en"")"),"reconcile")</f>
        <v>reconcile</v>
      </c>
      <c r="E1376" s="3" t="str">
        <f ca="1">IFERROR(__xludf.DUMMYFUNCTION("GOOGLETRANSLATE(B1376,""fr"",""en"")"),"They reconcile their differences for the sake of their friendship.")</f>
        <v>They reconcile their differences for the sake of their friendship.</v>
      </c>
    </row>
    <row r="1377" spans="1:5" x14ac:dyDescent="0.25">
      <c r="A1377" s="2" t="s">
        <v>4130</v>
      </c>
      <c r="B1377" s="2" t="s">
        <v>4131</v>
      </c>
      <c r="C1377" s="3" t="s">
        <v>4132</v>
      </c>
      <c r="D1377" s="3" t="str">
        <f ca="1">IFERROR(__xludf.DUMMYFUNCTION("GOOGLETRANSLATE(A1377,""fr"",""en"")"),"exacerbate")</f>
        <v>exacerbate</v>
      </c>
      <c r="E1377" s="3" t="str">
        <f ca="1">IFERROR(__xludf.DUMMYFUNCTION("GOOGLETRANSLATE(B1377,""fr"",""en"")"),"The situation is getting worse with each new incident.")</f>
        <v>The situation is getting worse with each new incident.</v>
      </c>
    </row>
    <row r="1378" spans="1:5" x14ac:dyDescent="0.25">
      <c r="A1378" s="2" t="s">
        <v>4133</v>
      </c>
      <c r="B1378" s="2" t="s">
        <v>4134</v>
      </c>
      <c r="C1378" s="3" t="s">
        <v>4135</v>
      </c>
      <c r="D1378" s="3" t="str">
        <f ca="1">IFERROR(__xludf.DUMMYFUNCTION("GOOGLETRANSLATE(A1378,""fr"",""en"")"),"liquidate")</f>
        <v>liquidate</v>
      </c>
      <c r="E1378" s="3" t="str">
        <f ca="1">IFERROR(__xludf.DUMMYFUNCTION("GOOGLETRANSLATE(B1378,""fr"",""en"")"),"They are clearing out their inventory to make room for new products.")</f>
        <v>They are clearing out their inventory to make room for new products.</v>
      </c>
    </row>
    <row r="1379" spans="1:5" x14ac:dyDescent="0.25">
      <c r="A1379" s="2" t="s">
        <v>4136</v>
      </c>
      <c r="B1379" s="2" t="s">
        <v>4137</v>
      </c>
      <c r="C1379" s="3" t="s">
        <v>4138</v>
      </c>
      <c r="D1379" s="3" t="str">
        <f ca="1">IFERROR(__xludf.DUMMYFUNCTION("GOOGLETRANSLATE(A1379,""fr"",""en"")"),"dictate")</f>
        <v>dictate</v>
      </c>
      <c r="E1379" s="3" t="str">
        <f ca="1">IFERROR(__xludf.DUMMYFUNCTION("GOOGLETRANSLATE(B1379,""fr"",""en"")"),"He dictates a letter to his assistant.")</f>
        <v>He dictates a letter to his assistant.</v>
      </c>
    </row>
    <row r="1380" spans="1:5" x14ac:dyDescent="0.25">
      <c r="A1380" s="2" t="s">
        <v>4139</v>
      </c>
      <c r="B1380" s="2" t="s">
        <v>4140</v>
      </c>
      <c r="C1380" s="3" t="s">
        <v>4141</v>
      </c>
      <c r="D1380" s="3" t="str">
        <f ca="1">IFERROR(__xludf.DUMMYFUNCTION("GOOGLETRANSLATE(A1380,""fr"",""en"")"),"to elucidate")</f>
        <v>to elucidate</v>
      </c>
      <c r="E1380" s="3" t="str">
        <f ca="1">IFERROR(__xludf.DUMMYFUNCTION("GOOGLETRANSLATE(B1380,""fr"",""en"")"),"She elucidates the mystery surrounding the disappearance.")</f>
        <v>She elucidates the mystery surrounding the disappearance.</v>
      </c>
    </row>
    <row r="1381" spans="1:5" x14ac:dyDescent="0.25">
      <c r="A1381" s="2" t="s">
        <v>4142</v>
      </c>
      <c r="B1381" s="2" t="s">
        <v>4143</v>
      </c>
      <c r="C1381" s="3" t="s">
        <v>4144</v>
      </c>
      <c r="D1381" s="3" t="str">
        <f ca="1">IFERROR(__xludf.DUMMYFUNCTION("GOOGLETRANSLATE(A1381,""fr"",""en"")"),"relax")</f>
        <v>relax</v>
      </c>
      <c r="E1381" s="3" t="str">
        <f ca="1">IFERROR(__xludf.DUMMYFUNCTION("GOOGLETRANSLATE(B1381,""fr"",""en"")"),"It relaxes his tense muscles after a stressful day.")</f>
        <v>It relaxes his tense muscles after a stressful day.</v>
      </c>
    </row>
    <row r="1382" spans="1:5" x14ac:dyDescent="0.25">
      <c r="A1382" s="2" t="s">
        <v>4145</v>
      </c>
      <c r="B1382" s="2" t="s">
        <v>4146</v>
      </c>
      <c r="C1382" s="3" t="s">
        <v>4147</v>
      </c>
      <c r="D1382" s="3" t="str">
        <f ca="1">IFERROR(__xludf.DUMMYFUNCTION("GOOGLETRANSLATE(A1382,""fr"",""en"")"),"counter-demonstrate")</f>
        <v>counter-demonstrate</v>
      </c>
      <c r="E1382" s="3" t="str">
        <f ca="1">IFERROR(__xludf.DUMMYFUNCTION("GOOGLETRANSLATE(B1382,""fr"",""en"")"),"They are counter-demonstrating against the government's decision.")</f>
        <v>They are counter-demonstrating against the government's decision.</v>
      </c>
    </row>
    <row r="1383" spans="1:5" x14ac:dyDescent="0.25">
      <c r="A1383" s="2" t="s">
        <v>4148</v>
      </c>
      <c r="B1383" s="2" t="s">
        <v>4149</v>
      </c>
      <c r="C1383" s="3" t="s">
        <v>4150</v>
      </c>
      <c r="D1383" s="3" t="str">
        <f ca="1">IFERROR(__xludf.DUMMYFUNCTION("GOOGLETRANSLATE(A1383,""fr"",""en"")"),"to inculcate")</f>
        <v>to inculcate</v>
      </c>
      <c r="E1383" s="3" t="str">
        <f ca="1">IFERROR(__xludf.DUMMYFUNCTION("GOOGLETRANSLATE(B1383,""fr"",""en"")"),"She instills moral values ​​in her children.")</f>
        <v>She instills moral values ​​in her children.</v>
      </c>
    </row>
    <row r="1384" spans="1:5" x14ac:dyDescent="0.25">
      <c r="A1384" s="2" t="s">
        <v>4151</v>
      </c>
      <c r="B1384" s="2" t="s">
        <v>4152</v>
      </c>
      <c r="C1384" s="3" t="s">
        <v>4153</v>
      </c>
      <c r="D1384" s="3" t="str">
        <f ca="1">IFERROR(__xludf.DUMMYFUNCTION("GOOGLETRANSLATE(A1384,""fr"",""en"")"),"condition")</f>
        <v>condition</v>
      </c>
      <c r="E1384" s="3" t="str">
        <f ca="1">IFERROR(__xludf.DUMMYFUNCTION("GOOGLETRANSLATE(B1384,""fr"",""en"")"),"They package the products before shipping them.")</f>
        <v>They package the products before shipping them.</v>
      </c>
    </row>
    <row r="1385" spans="1:5" x14ac:dyDescent="0.25">
      <c r="A1385" s="2" t="s">
        <v>4154</v>
      </c>
      <c r="B1385" s="2" t="s">
        <v>4155</v>
      </c>
      <c r="C1385" s="3" t="s">
        <v>4156</v>
      </c>
      <c r="D1385" s="3" t="str">
        <f ca="1">IFERROR(__xludf.DUMMYFUNCTION("GOOGLETRANSLATE(A1385,""fr"",""en"")"),"to subsist")</f>
        <v>to subsist</v>
      </c>
      <c r="E1385" s="3" t="str">
        <f ca="1">IFERROR(__xludf.DUMMYFUNCTION("GOOGLETRANSLATE(B1385,""fr"",""en"")"),"His determination remains despite the obstacles encountered.")</f>
        <v>His determination remains despite the obstacles encountered.</v>
      </c>
    </row>
    <row r="1386" spans="1:5" x14ac:dyDescent="0.25">
      <c r="A1386" s="2" t="s">
        <v>4157</v>
      </c>
      <c r="B1386" s="2" t="s">
        <v>4158</v>
      </c>
      <c r="C1386" s="3" t="s">
        <v>4159</v>
      </c>
      <c r="D1386" s="3" t="str">
        <f ca="1">IFERROR(__xludf.DUMMYFUNCTION("GOOGLETRANSLATE(A1386,""fr"",""en"")"),"wrap")</f>
        <v>wrap</v>
      </c>
      <c r="E1386" s="3" t="str">
        <f ca="1">IFERROR(__xludf.DUMMYFUNCTION("GOOGLETRANSLATE(B1386,""fr"",""en"")"),"She wraps the gifts carefully.")</f>
        <v>She wraps the gifts carefully.</v>
      </c>
    </row>
    <row r="1387" spans="1:5" x14ac:dyDescent="0.25">
      <c r="A1387" s="2" t="s">
        <v>4160</v>
      </c>
      <c r="B1387" s="2" t="s">
        <v>4161</v>
      </c>
      <c r="C1387" s="3" t="s">
        <v>4162</v>
      </c>
      <c r="D1387" s="3" t="str">
        <f ca="1">IFERROR(__xludf.DUMMYFUNCTION("GOOGLETRANSLATE(A1387,""fr"",""en"")"),"precipitate")</f>
        <v>precipitate</v>
      </c>
      <c r="E1387" s="3" t="str">
        <f ca="1">IFERROR(__xludf.DUMMYFUNCTION("GOOGLETRANSLATE(B1387,""fr"",""en"")"),"They rush their decision to avoid any delay.")</f>
        <v>They rush their decision to avoid any delay.</v>
      </c>
    </row>
    <row r="1388" spans="1:5" x14ac:dyDescent="0.25">
      <c r="A1388" s="2" t="s">
        <v>4163</v>
      </c>
      <c r="B1388" s="2" t="s">
        <v>4164</v>
      </c>
      <c r="C1388" s="3" t="s">
        <v>4165</v>
      </c>
      <c r="D1388" s="3" t="str">
        <f ca="1">IFERROR(__xludf.DUMMYFUNCTION("GOOGLETRANSLATE(A1388,""fr"",""en"")"),"encrypt")</f>
        <v>encrypt</v>
      </c>
      <c r="E1388" s="3" t="str">
        <f ca="1">IFERROR(__xludf.DUMMYFUNCTION("GOOGLETRANSLATE(B1388,""fr"",""en"")"),"It encrypts data to ensure its security.")</f>
        <v>It encrypts data to ensure its security.</v>
      </c>
    </row>
    <row r="1389" spans="1:5" x14ac:dyDescent="0.25">
      <c r="A1389" s="2" t="s">
        <v>4166</v>
      </c>
      <c r="B1389" s="2" t="s">
        <v>4167</v>
      </c>
      <c r="C1389" s="3" t="s">
        <v>4168</v>
      </c>
      <c r="D1389" s="3" t="str">
        <f ca="1">IFERROR(__xludf.DUMMYFUNCTION("GOOGLETRANSLATE(A1389,""fr"",""en"")"),"model")</f>
        <v>model</v>
      </c>
      <c r="E1389" s="3" t="str">
        <f ca="1">IFERROR(__xludf.DUMMYFUNCTION("GOOGLETRANSLATE(B1389,""fr"",""en"")"),"They model consumer behavior to predict sales.")</f>
        <v>They model consumer behavior to predict sales.</v>
      </c>
    </row>
    <row r="1390" spans="1:5" x14ac:dyDescent="0.25">
      <c r="A1390" s="2" t="s">
        <v>4169</v>
      </c>
      <c r="B1390" s="2" t="s">
        <v>4170</v>
      </c>
      <c r="C1390" s="3" t="s">
        <v>4171</v>
      </c>
      <c r="D1390" s="3" t="str">
        <f ca="1">IFERROR(__xludf.DUMMYFUNCTION("GOOGLETRANSLATE(A1390,""fr"",""en"")"),"entertain")</f>
        <v>entertain</v>
      </c>
      <c r="E1390" s="3" t="str">
        <f ca="1">IFERROR(__xludf.DUMMYFUNCTION("GOOGLETRANSLATE(B1390,""fr"",""en"")"),"She entertains children with games and songs.")</f>
        <v>She entertains children with games and songs.</v>
      </c>
    </row>
    <row r="1391" spans="1:5" x14ac:dyDescent="0.25">
      <c r="A1391" s="2" t="s">
        <v>4172</v>
      </c>
      <c r="B1391" s="2" t="s">
        <v>4173</v>
      </c>
      <c r="C1391" s="3" t="s">
        <v>4174</v>
      </c>
      <c r="D1391" s="3" t="str">
        <f ca="1">IFERROR(__xludf.DUMMYFUNCTION("GOOGLETRANSLATE(A1391,""fr"",""en"")"),"recommend")</f>
        <v>recommend</v>
      </c>
      <c r="E1391" s="3" t="str">
        <f ca="1">IFERROR(__xludf.DUMMYFUNCTION("GOOGLETRANSLATE(B1391,""fr"",""en"")"),"They advocate a more collaborative approach within the team.")</f>
        <v>They advocate a more collaborative approach within the team.</v>
      </c>
    </row>
    <row r="1392" spans="1:5" x14ac:dyDescent="0.25">
      <c r="A1392" s="2" t="s">
        <v>4175</v>
      </c>
      <c r="B1392" s="2" t="s">
        <v>4176</v>
      </c>
      <c r="C1392" s="3" t="s">
        <v>4177</v>
      </c>
      <c r="D1392" s="3" t="str">
        <f ca="1">IFERROR(__xludf.DUMMYFUNCTION("GOOGLETRANSLATE(A1392,""fr"",""en"")"),"vibrate")</f>
        <v>vibrate</v>
      </c>
      <c r="E1392" s="3" t="str">
        <f ca="1">IFERROR(__xludf.DUMMYFUNCTION("GOOGLETRANSLATE(B1392,""fr"",""en"")"),"The guitar strings vibrate beneath his fingers.")</f>
        <v>The guitar strings vibrate beneath his fingers.</v>
      </c>
    </row>
    <row r="1393" spans="1:5" x14ac:dyDescent="0.25">
      <c r="A1393" s="2" t="s">
        <v>4178</v>
      </c>
      <c r="B1393" s="2" t="s">
        <v>4179</v>
      </c>
      <c r="C1393" s="3" t="s">
        <v>4180</v>
      </c>
      <c r="D1393" s="3" t="str">
        <f ca="1">IFERROR(__xludf.DUMMYFUNCTION("GOOGLETRANSLATE(A1393,""fr"",""en"")"),"spy")</f>
        <v>spy</v>
      </c>
      <c r="E1393" s="3" t="str">
        <f ca="1">IFERROR(__xludf.DUMMYFUNCTION("GOOGLETRANSLATE(B1393,""fr"",""en"")"),"They spy on the suspect to obtain evidence.")</f>
        <v>They spy on the suspect to obtain evidence.</v>
      </c>
    </row>
    <row r="1394" spans="1:5" x14ac:dyDescent="0.25">
      <c r="A1394" s="2" t="s">
        <v>4181</v>
      </c>
      <c r="B1394" s="2" t="s">
        <v>4182</v>
      </c>
      <c r="C1394" s="3" t="s">
        <v>4183</v>
      </c>
      <c r="D1394" s="3" t="str">
        <f ca="1">IFERROR(__xludf.DUMMYFUNCTION("GOOGLETRANSLATE(A1394,""fr"",""en"")"),"computer")</f>
        <v>computer</v>
      </c>
      <c r="E1394" s="3" t="str">
        <f ca="1">IFERROR(__xludf.DUMMYFUNCTION("GOOGLETRANSLATE(B1394,""fr"",""en"")"),"He calculates the numbers for the financial report.")</f>
        <v>He calculates the numbers for the financial report.</v>
      </c>
    </row>
    <row r="1395" spans="1:5" x14ac:dyDescent="0.25">
      <c r="A1395" s="2" t="s">
        <v>4184</v>
      </c>
      <c r="B1395" s="2" t="s">
        <v>4185</v>
      </c>
      <c r="C1395" s="3" t="s">
        <v>4186</v>
      </c>
      <c r="D1395" s="3" t="str">
        <f ca="1">IFERROR(__xludf.DUMMYFUNCTION("GOOGLETRANSLATE(A1395,""fr"",""en"")"),"conjugate")</f>
        <v>conjugate</v>
      </c>
      <c r="E1395" s="3" t="str">
        <f ca="1">IFERROR(__xludf.DUMMYFUNCTION("GOOGLETRANSLATE(B1395,""fr"",""en"")"),"She conjugates the verb correctly in French.")</f>
        <v>She conjugates the verb correctly in French.</v>
      </c>
    </row>
    <row r="1396" spans="1:5" x14ac:dyDescent="0.25">
      <c r="A1396" s="2" t="s">
        <v>4187</v>
      </c>
      <c r="B1396" s="2" t="s">
        <v>4188</v>
      </c>
      <c r="C1396" s="3" t="s">
        <v>4189</v>
      </c>
      <c r="D1396" s="3" t="str">
        <f ca="1">IFERROR(__xludf.DUMMYFUNCTION("GOOGLETRANSLATE(A1396,""fr"",""en"")"),"disconnect")</f>
        <v>disconnect</v>
      </c>
      <c r="E1396" s="3" t="str">
        <f ca="1">IFERROR(__xludf.DUMMYFUNCTION("GOOGLETRANSLATE(B1396,""fr"",""en"")"),"They disconnect the alarm before entering the building.")</f>
        <v>They disconnect the alarm before entering the building.</v>
      </c>
    </row>
    <row r="1397" spans="1:5" x14ac:dyDescent="0.25">
      <c r="A1397" s="2" t="s">
        <v>4190</v>
      </c>
      <c r="B1397" s="2" t="s">
        <v>4191</v>
      </c>
      <c r="C1397" s="3" t="s">
        <v>4192</v>
      </c>
      <c r="D1397" s="3" t="str">
        <f ca="1">IFERROR(__xludf.DUMMYFUNCTION("GOOGLETRANSLATE(A1397,""fr"",""en"")"),"to detect")</f>
        <v>to detect</v>
      </c>
      <c r="E1397" s="3" t="str">
        <f ca="1">IFERROR(__xludf.DUMMYFUNCTION("GOOGLETRANSLATE(B1397,""fr"",""en"")"),"He tracks down the source of the water leak in the kitchen.")</f>
        <v>He tracks down the source of the water leak in the kitchen.</v>
      </c>
    </row>
    <row r="1398" spans="1:5" x14ac:dyDescent="0.25">
      <c r="A1398" s="2" t="s">
        <v>4193</v>
      </c>
      <c r="B1398" s="2" t="s">
        <v>4194</v>
      </c>
      <c r="C1398" s="3" t="s">
        <v>4195</v>
      </c>
      <c r="D1398" s="3" t="str">
        <f ca="1">IFERROR(__xludf.DUMMYFUNCTION("GOOGLETRANSLATE(A1398,""fr"",""en"")"),"arrow")</f>
        <v>arrow</v>
      </c>
      <c r="E1398" s="3" t="str">
        <f ca="1">IFERROR(__xludf.DUMMYFUNCTION("GOOGLETRANSLATE(B1398,""fr"",""en"")"),"They mark the trails to guide hikers.")</f>
        <v>They mark the trails to guide hikers.</v>
      </c>
    </row>
    <row r="1399" spans="1:5" x14ac:dyDescent="0.25">
      <c r="A1399" s="2" t="s">
        <v>4196</v>
      </c>
      <c r="B1399" s="2" t="s">
        <v>4197</v>
      </c>
      <c r="C1399" s="3" t="s">
        <v>4198</v>
      </c>
      <c r="D1399" s="3" t="str">
        <f ca="1">IFERROR(__xludf.DUMMYFUNCTION("GOOGLETRANSLATE(A1399,""fr"",""en"")"),"to ally")</f>
        <v>to ally</v>
      </c>
      <c r="E1399" s="3" t="str">
        <f ca="1">IFERROR(__xludf.DUMMYFUNCTION("GOOGLETRANSLATE(B1399,""fr"",""en"")"),"They partner with other companies to develop new products.")</f>
        <v>They partner with other companies to develop new products.</v>
      </c>
    </row>
    <row r="1400" spans="1:5" x14ac:dyDescent="0.25">
      <c r="A1400" s="2" t="s">
        <v>4199</v>
      </c>
      <c r="B1400" s="2" t="s">
        <v>4200</v>
      </c>
      <c r="C1400" s="3" t="s">
        <v>4201</v>
      </c>
      <c r="D1400" s="3" t="str">
        <f ca="1">IFERROR(__xludf.DUMMYFUNCTION("GOOGLETRANSLATE(A1400,""fr"",""en"")"),"raise")</f>
        <v>raise</v>
      </c>
      <c r="E1400" s="3" t="str">
        <f ca="1">IFERROR(__xludf.DUMMYFUNCTION("GOOGLETRANSLATE(B1400,""fr"",""en"")"),"He shrugs his shoulders to show his indifference.")</f>
        <v>He shrugs his shoulders to show his indifference.</v>
      </c>
    </row>
    <row r="1401" spans="1:5" x14ac:dyDescent="0.25">
      <c r="A1401" s="2" t="s">
        <v>4202</v>
      </c>
      <c r="B1401" s="2" t="s">
        <v>4203</v>
      </c>
      <c r="C1401" s="3" t="s">
        <v>4204</v>
      </c>
      <c r="D1401" s="3" t="str">
        <f ca="1">IFERROR(__xludf.DUMMYFUNCTION("GOOGLETRANSLATE(A1401,""fr"",""en"")"),"grill")</f>
        <v>grill</v>
      </c>
      <c r="E1401" s="3" t="str">
        <f ca="1">IFERROR(__xludf.DUMMYFUNCTION("GOOGLETRANSLATE(B1401,""fr"",""en"")"),"He's grilling vegetables for dinner.")</f>
        <v>He's grilling vegetables for dinner.</v>
      </c>
    </row>
    <row r="1402" spans="1:5" x14ac:dyDescent="0.25">
      <c r="A1402" s="2" t="s">
        <v>4205</v>
      </c>
      <c r="B1402" s="2" t="s">
        <v>4206</v>
      </c>
      <c r="C1402" s="3" t="s">
        <v>4207</v>
      </c>
      <c r="D1402" s="3" t="str">
        <f ca="1">IFERROR(__xludf.DUMMYFUNCTION("GOOGLETRANSLATE(A1402,""fr"",""en"")"),"inherit")</f>
        <v>inherit</v>
      </c>
      <c r="E1402" s="3" t="str">
        <f ca="1">IFERROR(__xludf.DUMMYFUNCTION("GOOGLETRANSLATE(B1402,""fr"",""en"")"),"She inherits an old house from her grandmother.")</f>
        <v>She inherits an old house from her grandmother.</v>
      </c>
    </row>
    <row r="1403" spans="1:5" x14ac:dyDescent="0.25">
      <c r="A1403" s="2" t="s">
        <v>4208</v>
      </c>
      <c r="B1403" s="2" t="s">
        <v>4209</v>
      </c>
      <c r="C1403" s="3" t="s">
        <v>4210</v>
      </c>
      <c r="D1403" s="3" t="str">
        <f ca="1">IFERROR(__xludf.DUMMYFUNCTION("GOOGLETRANSLATE(A1403,""fr"",""en"")"),"penalize")</f>
        <v>penalize</v>
      </c>
      <c r="E1403" s="3" t="str">
        <f ca="1">IFERROR(__xludf.DUMMYFUNCTION("GOOGLETRANSLATE(B1403,""fr"",""en"")"),"The regulation penalizes those who break the rules.")</f>
        <v>The regulation penalizes those who break the rules.</v>
      </c>
    </row>
    <row r="1404" spans="1:5" x14ac:dyDescent="0.25">
      <c r="A1404" s="2" t="s">
        <v>4211</v>
      </c>
      <c r="B1404" s="2" t="s">
        <v>4212</v>
      </c>
      <c r="C1404" s="3" t="s">
        <v>4213</v>
      </c>
      <c r="D1404" s="3" t="str">
        <f ca="1">IFERROR(__xludf.DUMMYFUNCTION("GOOGLETRANSLATE(A1404,""fr"",""en"")"),"to take it away")</f>
        <v>to take it away</v>
      </c>
      <c r="E1404" s="3" t="str">
        <f ca="1">IFERROR(__xludf.DUMMYFUNCTION("GOOGLETRANSLATE(B1404,""fr"",""en"")"),"The visiting team wins with a score of 3-0.")</f>
        <v>The visiting team wins with a score of 3-0.</v>
      </c>
    </row>
    <row r="1405" spans="1:5" x14ac:dyDescent="0.25">
      <c r="A1405" s="2" t="s">
        <v>4214</v>
      </c>
      <c r="B1405" s="2" t="s">
        <v>4215</v>
      </c>
      <c r="C1405" s="3" t="s">
        <v>4216</v>
      </c>
      <c r="D1405" s="3" t="str">
        <f ca="1">IFERROR(__xludf.DUMMYFUNCTION("GOOGLETRANSLATE(A1405,""fr"",""en"")"),"to dredge")</f>
        <v>to dredge</v>
      </c>
      <c r="E1405" s="3" t="str">
        <f ca="1">IFERROR(__xludf.DUMMYFUNCTION("GOOGLETRANSLATE(B1405,""fr"",""en"")"),"He's been trying to pick her up for weeks.")</f>
        <v>He's been trying to pick her up for weeks.</v>
      </c>
    </row>
    <row r="1406" spans="1:5" x14ac:dyDescent="0.25">
      <c r="A1406" s="2" t="s">
        <v>4217</v>
      </c>
      <c r="B1406" s="2" t="s">
        <v>4218</v>
      </c>
      <c r="C1406" s="3" t="s">
        <v>4219</v>
      </c>
      <c r="D1406" s="3" t="str">
        <f ca="1">IFERROR(__xludf.DUMMYFUNCTION("GOOGLETRANSLATE(A1406,""fr"",""en"")"),"close")</f>
        <v>close</v>
      </c>
      <c r="E1406" s="3" t="str">
        <f ca="1">IFERROR(__xludf.DUMMYFUNCTION("GOOGLETRANSLATE(B1406,""fr"",""en"")"),"Lock the door securely before leaving.")</f>
        <v>Lock the door securely before leaving.</v>
      </c>
    </row>
    <row r="1407" spans="1:5" x14ac:dyDescent="0.25">
      <c r="A1407" s="2" t="s">
        <v>4220</v>
      </c>
      <c r="B1407" s="2" t="s">
        <v>4221</v>
      </c>
      <c r="C1407" s="3" t="s">
        <v>4222</v>
      </c>
      <c r="D1407" s="3" t="str">
        <f ca="1">IFERROR(__xludf.DUMMYFUNCTION("GOOGLETRANSLATE(A1407,""fr"",""en"")"),"to wipe")</f>
        <v>to wipe</v>
      </c>
      <c r="E1407" s="3" t="str">
        <f ca="1">IFERROR(__xludf.DUMMYFUNCTION("GOOGLETRANSLATE(B1407,""fr"",""en"")"),"She wipes the table after the meal.")</f>
        <v>She wipes the table after the meal.</v>
      </c>
    </row>
    <row r="1408" spans="1:5" x14ac:dyDescent="0.25">
      <c r="A1408" s="2" t="s">
        <v>4223</v>
      </c>
      <c r="B1408" s="2" t="s">
        <v>4224</v>
      </c>
      <c r="C1408" s="3" t="s">
        <v>4225</v>
      </c>
      <c r="D1408" s="3" t="str">
        <f ca="1">IFERROR(__xludf.DUMMYFUNCTION("GOOGLETRANSLATE(A1408,""fr"",""en"")"),"exempt")</f>
        <v>exempt</v>
      </c>
      <c r="E1408" s="3" t="str">
        <f ca="1">IFERROR(__xludf.DUMMYFUNCTION("GOOGLETRANSLATE(B1408,""fr"",""en"")"),"Some people are exempt from taxes.")</f>
        <v>Some people are exempt from taxes.</v>
      </c>
    </row>
    <row r="1409" spans="1:5" x14ac:dyDescent="0.25">
      <c r="A1409" s="2" t="s">
        <v>4226</v>
      </c>
      <c r="B1409" s="2" t="s">
        <v>4227</v>
      </c>
      <c r="C1409" s="3" t="s">
        <v>4228</v>
      </c>
      <c r="D1409" s="3" t="str">
        <f ca="1">IFERROR(__xludf.DUMMYFUNCTION("GOOGLETRANSLATE(A1409,""fr"",""en"")"),"crochet")</f>
        <v>crochet</v>
      </c>
      <c r="E1409" s="3" t="str">
        <f ca="1">IFERROR(__xludf.DUMMYFUNCTION("GOOGLETRANSLATE(B1409,""fr"",""en"")"),"He picks the lock to enter the room.")</f>
        <v>He picks the lock to enter the room.</v>
      </c>
    </row>
    <row r="1410" spans="1:5" x14ac:dyDescent="0.25">
      <c r="A1410" s="2" t="s">
        <v>4229</v>
      </c>
      <c r="B1410" s="2" t="s">
        <v>4230</v>
      </c>
      <c r="C1410" s="3" t="s">
        <v>4231</v>
      </c>
      <c r="D1410" s="3" t="str">
        <f ca="1">IFERROR(__xludf.DUMMYFUNCTION("GOOGLETRANSLATE(A1410,""fr"",""en"")"),"humiliate")</f>
        <v>humiliate</v>
      </c>
      <c r="E1410" s="3" t="str">
        <f ca="1">IFERROR(__xludf.DUMMYFUNCTION("GOOGLETRANSLATE(B1410,""fr"",""en"")"),"His comment humiliates him in front of his colleagues.")</f>
        <v>His comment humiliates him in front of his colleagues.</v>
      </c>
    </row>
    <row r="1411" spans="1:5" x14ac:dyDescent="0.25">
      <c r="A1411" s="2" t="s">
        <v>4232</v>
      </c>
      <c r="B1411" s="2" t="s">
        <v>4233</v>
      </c>
      <c r="C1411" s="3" t="s">
        <v>4234</v>
      </c>
      <c r="D1411" s="3" t="str">
        <f ca="1">IFERROR(__xludf.DUMMYFUNCTION("GOOGLETRANSLATE(A1411,""fr"",""en"")"),"to chauvinize")</f>
        <v>to chauvinize</v>
      </c>
      <c r="E1411" s="3" t="str">
        <f ca="1">IFERROR(__xludf.DUMMYFUNCTION("GOOGLETRANSLATE(B1411,""fr"",""en"")"),"The boat capsized during the storm.")</f>
        <v>The boat capsized during the storm.</v>
      </c>
    </row>
    <row r="1412" spans="1:5" x14ac:dyDescent="0.25">
      <c r="A1412" s="2" t="s">
        <v>4235</v>
      </c>
      <c r="B1412" s="2" t="s">
        <v>4236</v>
      </c>
      <c r="C1412" s="3" t="s">
        <v>4237</v>
      </c>
      <c r="D1412" s="3" t="str">
        <f ca="1">IFERROR(__xludf.DUMMYFUNCTION("GOOGLETRANSLATE(A1412,""fr"",""en"")"),"bell tower")</f>
        <v>bell tower</v>
      </c>
      <c r="E1412" s="3" t="str">
        <f ca="1">IFERROR(__xludf.DUMMYFUNCTION("GOOGLETRANSLATE(B1412,""fr"",""en"")"),"The project failed because of one detail that was wrong.")</f>
        <v>The project failed because of one detail that was wrong.</v>
      </c>
    </row>
    <row r="1413" spans="1:5" x14ac:dyDescent="0.25">
      <c r="A1413" s="2" t="s">
        <v>4238</v>
      </c>
      <c r="B1413" s="2" t="s">
        <v>4239</v>
      </c>
      <c r="C1413" s="3" t="s">
        <v>4240</v>
      </c>
      <c r="D1413" s="3" t="str">
        <f ca="1">IFERROR(__xludf.DUMMYFUNCTION("GOOGLETRANSLATE(A1413,""fr"",""en"")"),"rub")</f>
        <v>rub</v>
      </c>
      <c r="E1413" s="3" t="str">
        <f ca="1">IFERROR(__xludf.DUMMYFUNCTION("GOOGLETRANSLATE(B1413,""fr"",""en"")"),"He vigorously rubs the stain on the carpet.")</f>
        <v>He vigorously rubs the stain on the carpet.</v>
      </c>
    </row>
    <row r="1414" spans="1:5" x14ac:dyDescent="0.25">
      <c r="A1414" s="2" t="s">
        <v>4241</v>
      </c>
      <c r="B1414" s="2" t="s">
        <v>4242</v>
      </c>
      <c r="C1414" s="3" t="s">
        <v>4243</v>
      </c>
      <c r="D1414" s="3" t="str">
        <f ca="1">IFERROR(__xludf.DUMMYFUNCTION("GOOGLETRANSLATE(A1414,""fr"",""en"")"),"scan")</f>
        <v>scan</v>
      </c>
      <c r="E1414" s="3" t="str">
        <f ca="1">IFERROR(__xludf.DUMMYFUNCTION("GOOGLETRANSLATE(B1414,""fr"",""en"")"),"Companies must digitize their administrative documents.")</f>
        <v>Companies must digitize their administrative documents.</v>
      </c>
    </row>
    <row r="1415" spans="1:5" x14ac:dyDescent="0.25">
      <c r="A1415" s="2" t="s">
        <v>4244</v>
      </c>
      <c r="B1415" s="2" t="s">
        <v>4245</v>
      </c>
      <c r="C1415" s="3" t="s">
        <v>4246</v>
      </c>
      <c r="D1415" s="3" t="str">
        <f ca="1">IFERROR(__xludf.DUMMYFUNCTION("GOOGLETRANSLATE(A1415,""fr"",""en"")"),"contradict")</f>
        <v>contradict</v>
      </c>
      <c r="E1415" s="3" t="str">
        <f ca="1">IFERROR(__xludf.DUMMYFUNCTION("GOOGLETRANSLATE(B1415,""fr"",""en"")"),"I contradict you on this point because I have a different opinion.")</f>
        <v>I contradict you on this point because I have a different opinion.</v>
      </c>
    </row>
    <row r="1416" spans="1:5" x14ac:dyDescent="0.25">
      <c r="A1416" s="2" t="s">
        <v>4247</v>
      </c>
      <c r="B1416" s="2" t="s">
        <v>4248</v>
      </c>
      <c r="C1416" s="3" t="s">
        <v>4249</v>
      </c>
      <c r="D1416" s="3" t="str">
        <f ca="1">IFERROR(__xludf.DUMMYFUNCTION("GOOGLETRANSLATE(A1416,""fr"",""en"")"),"to cut")</f>
        <v>to cut</v>
      </c>
      <c r="E1416" s="3" t="str">
        <f ca="1">IFERROR(__xludf.DUMMYFUNCTION("GOOGLETRANSLATE(B1416,""fr"",""en"")"),"She carefully trims the hedges in the garden.")</f>
        <v>She carefully trims the hedges in the garden.</v>
      </c>
    </row>
    <row r="1417" spans="1:5" x14ac:dyDescent="0.25">
      <c r="A1417" s="2" t="s">
        <v>4250</v>
      </c>
      <c r="B1417" s="2" t="s">
        <v>4251</v>
      </c>
      <c r="C1417" s="3" t="s">
        <v>4252</v>
      </c>
      <c r="D1417" s="3" t="str">
        <f ca="1">IFERROR(__xludf.DUMMYFUNCTION("GOOGLETRANSLATE(A1417,""fr"",""en"")"),"disinfect")</f>
        <v>disinfect</v>
      </c>
      <c r="E1417" s="3" t="str">
        <f ca="1">IFERROR(__xludf.DUMMYFUNCTION("GOOGLETRANSLATE(B1417,""fr"",""en"")"),"He disinfects the wound before applying a bandage.")</f>
        <v>He disinfects the wound before applying a bandage.</v>
      </c>
    </row>
    <row r="1418" spans="1:5" x14ac:dyDescent="0.25">
      <c r="A1418" s="2" t="s">
        <v>4253</v>
      </c>
      <c r="B1418" s="2" t="s">
        <v>4254</v>
      </c>
      <c r="C1418" s="3" t="s">
        <v>4255</v>
      </c>
      <c r="D1418" s="3" t="str">
        <f ca="1">IFERROR(__xludf.DUMMYFUNCTION("GOOGLETRANSLATE(A1418,""fr"",""en"")"),"eject")</f>
        <v>eject</v>
      </c>
      <c r="E1418" s="3" t="str">
        <f ca="1">IFERROR(__xludf.DUMMYFUNCTION("GOOGLETRANSLATE(B1418,""fr"",""en"")"),"The pilot ejects the ejection seat in an emergency.")</f>
        <v>The pilot ejects the ejection seat in an emergency.</v>
      </c>
    </row>
    <row r="1419" spans="1:5" x14ac:dyDescent="0.25">
      <c r="A1419" s="2" t="s">
        <v>4256</v>
      </c>
      <c r="B1419" s="2" t="s">
        <v>4257</v>
      </c>
      <c r="C1419" s="3" t="s">
        <v>4258</v>
      </c>
      <c r="D1419" s="3" t="str">
        <f ca="1">IFERROR(__xludf.DUMMYFUNCTION("GOOGLETRANSLATE(A1419,""fr"",""en"")"),"spread")</f>
        <v>spread</v>
      </c>
      <c r="E1419" s="3" t="str">
        <f ca="1">IFERROR(__xludf.DUMMYFUNCTION("GOOGLETRANSLATE(B1419,""fr"",""en"")"),"She spreads the pizza dough on the baking sheet.")</f>
        <v>She spreads the pizza dough on the baking sheet.</v>
      </c>
    </row>
    <row r="1420" spans="1:5" x14ac:dyDescent="0.25">
      <c r="A1420" s="2" t="s">
        <v>4259</v>
      </c>
      <c r="B1420" s="2" t="s">
        <v>4260</v>
      </c>
      <c r="C1420" s="3" t="s">
        <v>4261</v>
      </c>
      <c r="D1420" s="3" t="str">
        <f ca="1">IFERROR(__xludf.DUMMYFUNCTION("GOOGLETRANSLATE(A1420,""fr"",""en"")"),"to chatter")</f>
        <v>to chatter</v>
      </c>
      <c r="E1420" s="3" t="str">
        <f ca="1">IFERROR(__xludf.DUMMYFUNCTION("GOOGLETRANSLATE(B1420,""fr"",""en"")"),"He chatters endlessly about his exploits.")</f>
        <v>He chatters endlessly about his exploits.</v>
      </c>
    </row>
    <row r="1421" spans="1:5" x14ac:dyDescent="0.25">
      <c r="A1421" s="2" t="s">
        <v>4262</v>
      </c>
      <c r="B1421" s="2" t="s">
        <v>4263</v>
      </c>
      <c r="C1421" s="3" t="s">
        <v>4264</v>
      </c>
      <c r="D1421" s="3" t="str">
        <f ca="1">IFERROR(__xludf.DUMMYFUNCTION("GOOGLETRANSLATE(A1421,""fr"",""en"")"),"preach")</f>
        <v>preach</v>
      </c>
      <c r="E1421" s="3" t="str">
        <f ca="1">IFERROR(__xludf.DUMMYFUNCTION("GOOGLETRANSLATE(B1421,""fr"",""en"")"),"The priest preaches about peace and tolerance.")</f>
        <v>The priest preaches about peace and tolerance.</v>
      </c>
    </row>
    <row r="1422" spans="1:5" x14ac:dyDescent="0.25">
      <c r="A1422" s="2" t="s">
        <v>4265</v>
      </c>
      <c r="B1422" s="2" t="s">
        <v>4266</v>
      </c>
      <c r="C1422" s="3" t="s">
        <v>4267</v>
      </c>
      <c r="D1422" s="3" t="str">
        <f ca="1">IFERROR(__xludf.DUMMYFUNCTION("GOOGLETRANSLATE(A1422,""fr"",""en"")"),"decompose")</f>
        <v>decompose</v>
      </c>
      <c r="E1422" s="3" t="str">
        <f ca="1">IFERROR(__xludf.DUMMYFUNCTION("GOOGLETRANSLATE(B1422,""fr"",""en"")"),"We need to break the problem down into smaller steps.")</f>
        <v>We need to break the problem down into smaller steps.</v>
      </c>
    </row>
    <row r="1423" spans="1:5" x14ac:dyDescent="0.25">
      <c r="A1423" s="2" t="s">
        <v>4268</v>
      </c>
      <c r="B1423" s="2" t="s">
        <v>4269</v>
      </c>
      <c r="C1423" s="3" t="s">
        <v>4270</v>
      </c>
      <c r="D1423" s="3" t="str">
        <f ca="1">IFERROR(__xludf.DUMMYFUNCTION("GOOGLETRANSLATE(A1423,""fr"",""en"")"),"rephrase")</f>
        <v>rephrase</v>
      </c>
      <c r="E1423" s="3" t="str">
        <f ca="1">IFERROR(__xludf.DUMMYFUNCTION("GOOGLETRANSLATE(B1423,""fr"",""en"")"),"This paragraph needs to be reworded to make it clearer.")</f>
        <v>This paragraph needs to be reworded to make it clearer.</v>
      </c>
    </row>
    <row r="1424" spans="1:5" x14ac:dyDescent="0.25">
      <c r="A1424" s="2" t="s">
        <v>4271</v>
      </c>
      <c r="B1424" s="2" t="s">
        <v>4272</v>
      </c>
      <c r="C1424" s="3" t="s">
        <v>4273</v>
      </c>
      <c r="D1424" s="3" t="str">
        <f ca="1">IFERROR(__xludf.DUMMYFUNCTION("GOOGLETRANSLATE(A1424,""fr"",""en"")"),"conglomerate")</f>
        <v>conglomerate</v>
      </c>
      <c r="E1424" s="3" t="str">
        <f ca="1">IFERROR(__xludf.DUMMYFUNCTION("GOOGLETRANSLATE(B1424,""fr"",""en"")"),"The company has conglomerated several small companies under its name.")</f>
        <v>The company has conglomerated several small companies under its name.</v>
      </c>
    </row>
    <row r="1425" spans="1:5" x14ac:dyDescent="0.25">
      <c r="A1425" s="2" t="s">
        <v>4274</v>
      </c>
      <c r="B1425" s="2" t="s">
        <v>4275</v>
      </c>
      <c r="C1425" s="3" t="s">
        <v>4276</v>
      </c>
      <c r="D1425" s="3" t="str">
        <f ca="1">IFERROR(__xludf.DUMMYFUNCTION("GOOGLETRANSLATE(A1425,""fr"",""en"")"),"maneuver")</f>
        <v>maneuver</v>
      </c>
      <c r="E1425" s="3" t="str">
        <f ca="1">IFERROR(__xludf.DUMMYFUNCTION("GOOGLETRANSLATE(B1425,""fr"",""en"")"),"The captain skillfully maneuvers the ship into the harbor.")</f>
        <v>The captain skillfully maneuvers the ship into the harbor.</v>
      </c>
    </row>
    <row r="1426" spans="1:5" x14ac:dyDescent="0.25">
      <c r="A1426" s="2" t="s">
        <v>4277</v>
      </c>
      <c r="B1426" s="2" t="s">
        <v>4278</v>
      </c>
      <c r="C1426" s="3" t="s">
        <v>4279</v>
      </c>
      <c r="D1426" s="3" t="str">
        <f ca="1">IFERROR(__xludf.DUMMYFUNCTION("GOOGLETRANSLATE(A1426,""fr"",""en"")"),"disarm")</f>
        <v>disarm</v>
      </c>
      <c r="E1426" s="3" t="str">
        <f ca="1">IFERROR(__xludf.DUMMYFUNCTION("GOOGLETRANSLATE(B1426,""fr"",""en"")"),"They carefully disarm the bombs.")</f>
        <v>They carefully disarm the bombs.</v>
      </c>
    </row>
    <row r="1427" spans="1:5" x14ac:dyDescent="0.25">
      <c r="A1427" s="2" t="s">
        <v>4280</v>
      </c>
      <c r="B1427" s="2" t="s">
        <v>4281</v>
      </c>
      <c r="C1427" s="3" t="s">
        <v>4282</v>
      </c>
      <c r="D1427" s="3" t="str">
        <f ca="1">IFERROR(__xludf.DUMMYFUNCTION("GOOGLETRANSLATE(A1427,""fr"",""en"")"),"dissociate")</f>
        <v>dissociate</v>
      </c>
      <c r="E1427" s="3" t="str">
        <f ca="1">IFERROR(__xludf.DUMMYFUNCTION("GOOGLETRANSLATE(B1427,""fr"",""en"")"),"We must separate facts from opinions.")</f>
        <v>We must separate facts from opinions.</v>
      </c>
    </row>
    <row r="1428" spans="1:5" x14ac:dyDescent="0.25">
      <c r="A1428" s="2" t="s">
        <v>4283</v>
      </c>
      <c r="B1428" s="2" t="s">
        <v>4284</v>
      </c>
      <c r="C1428" s="3" t="s">
        <v>4285</v>
      </c>
      <c r="D1428" s="3" t="str">
        <f ca="1">IFERROR(__xludf.DUMMYFUNCTION("GOOGLETRANSLATE(A1428,""fr"",""en"")"),"applaud")</f>
        <v>applaud</v>
      </c>
      <c r="E1428" s="3" t="str">
        <f ca="1">IFERROR(__xludf.DUMMYFUNCTION("GOOGLETRANSLATE(B1428,""fr"",""en"")"),"The audience applauds after the outstanding performance.")</f>
        <v>The audience applauds after the outstanding performance.</v>
      </c>
    </row>
    <row r="1429" spans="1:5" x14ac:dyDescent="0.25">
      <c r="A1429" s="2" t="s">
        <v>4286</v>
      </c>
      <c r="B1429" s="2" t="s">
        <v>4287</v>
      </c>
      <c r="C1429" s="3" t="s">
        <v>4288</v>
      </c>
      <c r="D1429" s="3" t="str">
        <f ca="1">IFERROR(__xludf.DUMMYFUNCTION("GOOGLETRANSLATE(A1429,""fr"",""en"")"),"mater")</f>
        <v>mater</v>
      </c>
      <c r="E1429" s="3" t="str">
        <f ca="1">IFERROR(__xludf.DUMMYFUNCTION("GOOGLETRANSLATE(B1429,""fr"",""en"")"),"She subdued her opponent during the tennis match.")</f>
        <v>She subdued her opponent during the tennis match.</v>
      </c>
    </row>
    <row r="1430" spans="1:5" x14ac:dyDescent="0.25">
      <c r="A1430" s="2" t="s">
        <v>4289</v>
      </c>
      <c r="B1430" s="2" t="s">
        <v>4290</v>
      </c>
      <c r="C1430" s="3" t="s">
        <v>4291</v>
      </c>
      <c r="D1430" s="3" t="str">
        <f ca="1">IFERROR(__xludf.DUMMYFUNCTION("GOOGLETRANSLATE(A1430,""fr"",""en"")"),"grind")</f>
        <v>grind</v>
      </c>
      <c r="E1430" s="3" t="str">
        <f ca="1">IFERROR(__xludf.DUMMYFUNCTION("GOOGLETRANSLATE(B1430,""fr"",""en"")"),"It grinds coffee beans to make fresh coffee.")</f>
        <v>It grinds coffee beans to make fresh coffee.</v>
      </c>
    </row>
    <row r="1431" spans="1:5" x14ac:dyDescent="0.25">
      <c r="A1431" s="2" t="s">
        <v>4292</v>
      </c>
      <c r="B1431" s="2" t="s">
        <v>4293</v>
      </c>
      <c r="C1431" s="3" t="s">
        <v>4294</v>
      </c>
      <c r="D1431" s="3" t="str">
        <f ca="1">IFERROR(__xludf.DUMMYFUNCTION("GOOGLETRANSLATE(A1431,""fr"",""en"")"),"to dare")</f>
        <v>to dare</v>
      </c>
      <c r="E1431" s="3" t="str">
        <f ca="1">IFERROR(__xludf.DUMMYFUNCTION("GOOGLETRANSLATE(B1431,""fr"",""en"")"),"She dares to ask him for a pay rise.")</f>
        <v>She dares to ask him for a pay rise.</v>
      </c>
    </row>
    <row r="1432" spans="1:5" x14ac:dyDescent="0.25">
      <c r="A1432" s="2" t="s">
        <v>4295</v>
      </c>
      <c r="B1432" s="2" t="s">
        <v>4296</v>
      </c>
      <c r="C1432" s="3" t="s">
        <v>4297</v>
      </c>
      <c r="D1432" s="3" t="str">
        <f ca="1">IFERROR(__xludf.DUMMYFUNCTION("GOOGLETRANSLATE(A1432,""fr"",""en"")"),"reread")</f>
        <v>reread</v>
      </c>
      <c r="E1432" s="3" t="str">
        <f ca="1">IFERROR(__xludf.DUMMYFUNCTION("GOOGLETRANSLATE(B1432,""fr"",""en"")"),"I proofread my essay before submitting it.")</f>
        <v>I proofread my essay before submitting it.</v>
      </c>
    </row>
    <row r="1433" spans="1:5" x14ac:dyDescent="0.25">
      <c r="A1433" s="2" t="s">
        <v>4298</v>
      </c>
      <c r="B1433" s="2" t="s">
        <v>4299</v>
      </c>
      <c r="C1433" s="3" t="s">
        <v>4300</v>
      </c>
      <c r="D1433" s="3" t="str">
        <f ca="1">IFERROR(__xludf.DUMMYFUNCTION("GOOGLETRANSLATE(A1433,""fr"",""en"")"),"meditate")</f>
        <v>meditate</v>
      </c>
      <c r="E1433" s="3" t="str">
        <f ca="1">IFERROR(__xludf.DUMMYFUNCTION("GOOGLETRANSLATE(B1433,""fr"",""en"")"),"She meditates every morning to refocus.")</f>
        <v>She meditates every morning to refocus.</v>
      </c>
    </row>
    <row r="1434" spans="1:5" x14ac:dyDescent="0.25">
      <c r="A1434" s="2" t="s">
        <v>4301</v>
      </c>
      <c r="B1434" s="2" t="s">
        <v>4302</v>
      </c>
      <c r="C1434" s="3" t="s">
        <v>4303</v>
      </c>
      <c r="D1434" s="3" t="str">
        <f ca="1">IFERROR(__xludf.DUMMYFUNCTION("GOOGLETRANSLATE(A1434,""fr"",""en"")"),"belong")</f>
        <v>belong</v>
      </c>
      <c r="E1434" s="3" t="str">
        <f ca="1">IFERROR(__xludf.DUMMYFUNCTION("GOOGLETRANSLATE(B1434,""fr"",""en"")"),"This house has been in my family for generations.")</f>
        <v>This house has been in my family for generations.</v>
      </c>
    </row>
    <row r="1435" spans="1:5" x14ac:dyDescent="0.25">
      <c r="A1435" s="2" t="s">
        <v>4304</v>
      </c>
      <c r="B1435" s="2" t="s">
        <v>4305</v>
      </c>
      <c r="C1435" s="3" t="s">
        <v>4306</v>
      </c>
      <c r="D1435" s="3" t="str">
        <f ca="1">IFERROR(__xludf.DUMMYFUNCTION("GOOGLETRANSLATE(A1435,""fr"",""en"")"),"to tie")</f>
        <v>to tie</v>
      </c>
      <c r="E1435" s="3" t="str">
        <f ca="1">IFERROR(__xludf.DUMMYFUNCTION("GOOGLETRANSLATE(B1435,""fr"",""en"")"),"They form a strong friendship despite the difficulties.")</f>
        <v>They form a strong friendship despite the difficulties.</v>
      </c>
    </row>
    <row r="1436" spans="1:5" x14ac:dyDescent="0.25">
      <c r="A1436" s="2" t="s">
        <v>4307</v>
      </c>
      <c r="B1436" s="2" t="s">
        <v>4308</v>
      </c>
      <c r="C1436" s="3" t="s">
        <v>4309</v>
      </c>
      <c r="D1436" s="3" t="str">
        <f ca="1">IFERROR(__xludf.DUMMYFUNCTION("GOOGLETRANSLATE(A1436,""fr"",""en"")"),"rider")</f>
        <v>rider</v>
      </c>
      <c r="E1436" s="3" t="str">
        <f ca="1">IFERROR(__xludf.DUMMYFUNCTION("GOOGLETRANSLATE(B1436,""fr"",""en"")"),"The wind ripples the surface of the lake.")</f>
        <v>The wind ripples the surface of the lake.</v>
      </c>
    </row>
    <row r="1437" spans="1:5" x14ac:dyDescent="0.25">
      <c r="A1437" s="2" t="s">
        <v>4310</v>
      </c>
      <c r="B1437" s="2" t="s">
        <v>4311</v>
      </c>
      <c r="C1437" s="3" t="s">
        <v>4312</v>
      </c>
      <c r="D1437" s="3" t="str">
        <f ca="1">IFERROR(__xludf.DUMMYFUNCTION("GOOGLETRANSLATE(A1437,""fr"",""en"")"),"hurry")</f>
        <v>hurry</v>
      </c>
      <c r="E1437" s="3" t="str">
        <f ca="1">IFERROR(__xludf.DUMMYFUNCTION("GOOGLETRANSLATE(B1437,""fr"",""en"")"),"He hurries so as not to miss his train.")</f>
        <v>He hurries so as not to miss his train.</v>
      </c>
    </row>
    <row r="1438" spans="1:5" x14ac:dyDescent="0.25">
      <c r="A1438" s="2" t="s">
        <v>4313</v>
      </c>
      <c r="B1438" s="2" t="s">
        <v>4314</v>
      </c>
      <c r="C1438" s="3" t="s">
        <v>4315</v>
      </c>
      <c r="D1438" s="3" t="str">
        <f ca="1">IFERROR(__xludf.DUMMYFUNCTION("GOOGLETRANSLATE(A1438,""fr"",""en"")"),"contaminate")</f>
        <v>contaminate</v>
      </c>
      <c r="E1438" s="3" t="str">
        <f ca="1">IFERROR(__xludf.DUMMYFUNCTION("GOOGLETRANSLATE(B1438,""fr"",""en"")"),"Bacteria can easily contaminate food.")</f>
        <v>Bacteria can easily contaminate food.</v>
      </c>
    </row>
    <row r="1439" spans="1:5" x14ac:dyDescent="0.25">
      <c r="A1439" s="2" t="s">
        <v>4316</v>
      </c>
      <c r="B1439" s="2" t="s">
        <v>4317</v>
      </c>
      <c r="C1439" s="3" t="s">
        <v>4318</v>
      </c>
      <c r="D1439" s="3" t="str">
        <f ca="1">IFERROR(__xludf.DUMMYFUNCTION("GOOGLETRANSLATE(A1439,""fr"",""en"")"),"interview")</f>
        <v>interview</v>
      </c>
      <c r="E1439" s="3" t="str">
        <f ca="1">IFERROR(__xludf.DUMMYFUNCTION("GOOGLETRANSLATE(B1439,""fr"",""en"")"),"He interviews personalities for his radio show.")</f>
        <v>He interviews personalities for his radio show.</v>
      </c>
    </row>
    <row r="1440" spans="1:5" x14ac:dyDescent="0.25">
      <c r="A1440" s="2" t="s">
        <v>4319</v>
      </c>
      <c r="B1440" s="2" t="s">
        <v>4320</v>
      </c>
      <c r="C1440" s="3" t="s">
        <v>4321</v>
      </c>
      <c r="D1440" s="3" t="str">
        <f ca="1">IFERROR(__xludf.DUMMYFUNCTION("GOOGLETRANSLATE(A1440,""fr"",""en"")"),"centralize")</f>
        <v>centralize</v>
      </c>
      <c r="E1440" s="3" t="str">
        <f ca="1">IFERROR(__xludf.DUMMYFUNCTION("GOOGLETRANSLATE(B1440,""fr"",""en"")"),"The company centralizes its operations in a new office.")</f>
        <v>The company centralizes its operations in a new office.</v>
      </c>
    </row>
    <row r="1441" spans="1:5" x14ac:dyDescent="0.25">
      <c r="A1441" s="2" t="s">
        <v>4322</v>
      </c>
      <c r="B1441" s="2" t="s">
        <v>4323</v>
      </c>
      <c r="C1441" s="3" t="s">
        <v>4324</v>
      </c>
      <c r="D1441" s="3" t="str">
        <f ca="1">IFERROR(__xludf.DUMMYFUNCTION("GOOGLETRANSLATE(A1441,""fr"",""en"")"),"reason")</f>
        <v>reason</v>
      </c>
      <c r="E1441" s="3" t="str">
        <f ca="1">IFERROR(__xludf.DUMMYFUNCTION("GOOGLETRANSLATE(B1441,""fr"",""en"")"),"You have to reason before making an important decision.")</f>
        <v>You have to reason before making an important decision.</v>
      </c>
    </row>
    <row r="1442" spans="1:5" x14ac:dyDescent="0.25">
      <c r="A1442" s="2" t="s">
        <v>4325</v>
      </c>
      <c r="B1442" s="2" t="s">
        <v>4326</v>
      </c>
      <c r="C1442" s="3" t="s">
        <v>4327</v>
      </c>
      <c r="D1442" s="3" t="str">
        <f ca="1">IFERROR(__xludf.DUMMYFUNCTION("GOOGLETRANSLATE(A1442,""fr"",""en"")"),"decline")</f>
        <v>decline</v>
      </c>
      <c r="E1442" s="3" t="str">
        <f ca="1">IFERROR(__xludf.DUMMYFUNCTION("GOOGLETRANSLATE(B1442,""fr"",""en"")"),"Sales of this product have been declining for several months.")</f>
        <v>Sales of this product have been declining for several months.</v>
      </c>
    </row>
    <row r="1443" spans="1:5" x14ac:dyDescent="0.25">
      <c r="A1443" s="2" t="s">
        <v>4328</v>
      </c>
      <c r="B1443" s="2" t="s">
        <v>4329</v>
      </c>
      <c r="C1443" s="3" t="s">
        <v>4330</v>
      </c>
      <c r="D1443" s="3" t="str">
        <f ca="1">IFERROR(__xludf.DUMMYFUNCTION("GOOGLETRANSLATE(A1443,""fr"",""en"")"),"persevere")</f>
        <v>persevere</v>
      </c>
      <c r="E1443" s="3" t="str">
        <f ca="1">IFERROR(__xludf.DUMMYFUNCTION("GOOGLETRANSLATE(B1443,""fr"",""en"")"),"Despite the difficulties, she perseveres in her project.")</f>
        <v>Despite the difficulties, she perseveres in her project.</v>
      </c>
    </row>
    <row r="1444" spans="1:5" x14ac:dyDescent="0.25">
      <c r="A1444" s="2" t="s">
        <v>4331</v>
      </c>
      <c r="B1444" s="2" t="s">
        <v>4332</v>
      </c>
      <c r="C1444" s="3" t="s">
        <v>4333</v>
      </c>
      <c r="D1444" s="3" t="str">
        <f ca="1">IFERROR(__xludf.DUMMYFUNCTION("GOOGLETRANSLATE(A1444,""fr"",""en"")"),"tithe")</f>
        <v>tithe</v>
      </c>
      <c r="E1444" s="3" t="str">
        <f ca="1">IFERROR(__xludf.DUMMYFUNCTION("GOOGLETRANSLATE(B1444,""fr"",""en"")"),"They tithe annually to support the local church.")</f>
        <v>They tithe annually to support the local church.</v>
      </c>
    </row>
    <row r="1445" spans="1:5" x14ac:dyDescent="0.25">
      <c r="A1445" s="2" t="s">
        <v>4334</v>
      </c>
      <c r="B1445" s="2" t="s">
        <v>4335</v>
      </c>
      <c r="C1445" s="3" t="s">
        <v>4336</v>
      </c>
      <c r="D1445" s="3" t="str">
        <f ca="1">IFERROR(__xludf.DUMMYFUNCTION("GOOGLETRANSLATE(A1445,""fr"",""en"")"),"plywood")</f>
        <v>plywood</v>
      </c>
      <c r="E1445" s="3" t="str">
        <f ca="1">IFERROR(__xludf.DUMMYFUNCTION("GOOGLETRANSLATE(B1445,""fr"",""en"")"),"The wood must be plywood to strengthen the structure.")</f>
        <v>The wood must be plywood to strengthen the structure.</v>
      </c>
    </row>
    <row r="1446" spans="1:5" x14ac:dyDescent="0.25">
      <c r="A1446" s="2" t="s">
        <v>4337</v>
      </c>
      <c r="B1446" s="2" t="s">
        <v>4338</v>
      </c>
      <c r="C1446" s="3" t="s">
        <v>4339</v>
      </c>
      <c r="D1446" s="3" t="str">
        <f ca="1">IFERROR(__xludf.DUMMYFUNCTION("GOOGLETRANSLATE(A1446,""fr"",""en"")"),"institutionalize")</f>
        <v>institutionalize</v>
      </c>
      <c r="E1446" s="3" t="str">
        <f ca="1">IFERROR(__xludf.DUMMYFUNCTION("GOOGLETRANSLATE(B1446,""fr"",""en"")"),"They institutionalize a new recruitment policy.")</f>
        <v>They institutionalize a new recruitment policy.</v>
      </c>
    </row>
    <row r="1447" spans="1:5" x14ac:dyDescent="0.25">
      <c r="A1447" s="2" t="s">
        <v>4340</v>
      </c>
      <c r="B1447" s="2" t="s">
        <v>4341</v>
      </c>
      <c r="C1447" s="3" t="s">
        <v>4342</v>
      </c>
      <c r="D1447" s="3" t="str">
        <f ca="1">IFERROR(__xludf.DUMMYFUNCTION("GOOGLETRANSLATE(A1447,""fr"",""en"")"),"to whiten")</f>
        <v>to whiten</v>
      </c>
      <c r="E1447" s="3" t="str">
        <f ca="1">IFERROR(__xludf.DUMMYFUNCTION("GOOGLETRANSLATE(B1447,""fr"",""en"")"),"It bleaches the sheets to make them bright.")</f>
        <v>It bleaches the sheets to make them bright.</v>
      </c>
    </row>
    <row r="1448" spans="1:5" x14ac:dyDescent="0.25">
      <c r="A1448" s="2" t="s">
        <v>4343</v>
      </c>
      <c r="B1448" s="2" t="s">
        <v>4344</v>
      </c>
      <c r="C1448" s="3" t="s">
        <v>4345</v>
      </c>
      <c r="D1448" s="3" t="str">
        <f ca="1">IFERROR(__xludf.DUMMYFUNCTION("GOOGLETRANSLATE(A1448,""fr"",""en"")"),"contraindicate")</f>
        <v>contraindicate</v>
      </c>
      <c r="E1448" s="3" t="str">
        <f ca="1">IFERROR(__xludf.DUMMYFUNCTION("GOOGLETRANSLATE(B1448,""fr"",""en"")"),"This medication contraindicates alcohol consumption.")</f>
        <v>This medication contraindicates alcohol consumption.</v>
      </c>
    </row>
    <row r="1449" spans="1:5" x14ac:dyDescent="0.25">
      <c r="A1449" s="2" t="s">
        <v>4346</v>
      </c>
      <c r="B1449" s="2" t="s">
        <v>4347</v>
      </c>
      <c r="C1449" s="3" t="s">
        <v>4348</v>
      </c>
      <c r="D1449" s="3" t="str">
        <f ca="1">IFERROR(__xludf.DUMMYFUNCTION("GOOGLETRANSLATE(A1449,""fr"",""en"")"),"to conjecture")</f>
        <v>to conjecture</v>
      </c>
      <c r="E1449" s="3" t="str">
        <f ca="1">IFERROR(__xludf.DUMMYFUNCTION("GOOGLETRANSLATE(B1449,""fr"",""en"")"),"Scientists are speculating about the origin of this disease.")</f>
        <v>Scientists are speculating about the origin of this disease.</v>
      </c>
    </row>
    <row r="1450" spans="1:5" x14ac:dyDescent="0.25">
      <c r="A1450" s="2" t="s">
        <v>4349</v>
      </c>
      <c r="B1450" s="2" t="s">
        <v>4350</v>
      </c>
      <c r="C1450" s="3" t="s">
        <v>4351</v>
      </c>
      <c r="D1450" s="3" t="str">
        <f ca="1">IFERROR(__xludf.DUMMYFUNCTION("GOOGLETRANSLATE(A1450,""fr"",""en"")"),"tilt")</f>
        <v>tilt</v>
      </c>
      <c r="E1450" s="3" t="str">
        <f ca="1">IFERROR(__xludf.DUMMYFUNCTION("GOOGLETRANSLATE(B1450,""fr"",""en"")"),"She bows her head in recognition.")</f>
        <v>She bows her head in recognition.</v>
      </c>
    </row>
    <row r="1451" spans="1:5" x14ac:dyDescent="0.25">
      <c r="A1451" s="2" t="s">
        <v>4352</v>
      </c>
      <c r="B1451" s="2" t="s">
        <v>4353</v>
      </c>
      <c r="C1451" s="3" t="s">
        <v>4354</v>
      </c>
      <c r="D1451" s="3" t="str">
        <f ca="1">IFERROR(__xludf.DUMMYFUNCTION("GOOGLETRANSLATE(A1451,""fr"",""en"")"),"scroll")</f>
        <v>scroll</v>
      </c>
      <c r="E1451" s="3" t="str">
        <f ca="1">IFERROR(__xludf.DUMMYFUNCTION("GOOGLETRANSLATE(B1451,""fr"",""en"")"),"Models walk the catwalk during the fashion show.")</f>
        <v>Models walk the catwalk during the fashion show.</v>
      </c>
    </row>
    <row r="1452" spans="1:5" x14ac:dyDescent="0.25">
      <c r="A1452" s="2" t="s">
        <v>4355</v>
      </c>
      <c r="B1452" s="2" t="s">
        <v>4356</v>
      </c>
      <c r="C1452" s="3" t="s">
        <v>4357</v>
      </c>
      <c r="D1452" s="3" t="str">
        <f ca="1">IFERROR(__xludf.DUMMYFUNCTION("GOOGLETRANSLATE(A1452,""fr"",""en"")"),"sterilize")</f>
        <v>sterilize</v>
      </c>
      <c r="E1452" s="3" t="str">
        <f ca="1">IFERROR(__xludf.DUMMYFUNCTION("GOOGLETRANSLATE(B1452,""fr"",""en"")"),"It sterilizes medical instruments before each use.")</f>
        <v>It sterilizes medical instruments before each use.</v>
      </c>
    </row>
    <row r="1453" spans="1:5" x14ac:dyDescent="0.25">
      <c r="A1453" s="2" t="s">
        <v>4358</v>
      </c>
      <c r="B1453" s="2" t="s">
        <v>4359</v>
      </c>
      <c r="C1453" s="3" t="s">
        <v>4360</v>
      </c>
      <c r="D1453" s="3" t="str">
        <f ca="1">IFERROR(__xludf.DUMMYFUNCTION("GOOGLETRANSLATE(A1453,""fr"",""en"")"),"to parry")</f>
        <v>to parry</v>
      </c>
      <c r="E1453" s="3" t="str">
        <f ca="1">IFERROR(__xludf.DUMMYFUNCTION("GOOGLETRANSLATE(B1453,""fr"",""en"")"),"She adorns the play with magnificent sets.")</f>
        <v>She adorns the play with magnificent sets.</v>
      </c>
    </row>
    <row r="1454" spans="1:5" x14ac:dyDescent="0.25">
      <c r="A1454" s="2" t="s">
        <v>4361</v>
      </c>
      <c r="B1454" s="2" t="s">
        <v>4362</v>
      </c>
      <c r="C1454" s="3" t="s">
        <v>4363</v>
      </c>
      <c r="D1454" s="3" t="str">
        <f ca="1">IFERROR(__xludf.DUMMYFUNCTION("GOOGLETRANSLATE(A1454,""fr"",""en"")"),"offend")</f>
        <v>offend</v>
      </c>
      <c r="E1454" s="3" t="str">
        <f ca="1">IFERROR(__xludf.DUMMYFUNCTION("GOOGLETRANSLATE(B1454,""fr"",""en"")"),"His words offended his colleagues.")</f>
        <v>His words offended his colleagues.</v>
      </c>
    </row>
    <row r="1455" spans="1:5" x14ac:dyDescent="0.25">
      <c r="A1455" s="2" t="s">
        <v>4364</v>
      </c>
      <c r="B1455" s="2" t="s">
        <v>4365</v>
      </c>
      <c r="C1455" s="3" t="s">
        <v>4366</v>
      </c>
      <c r="D1455" s="3" t="str">
        <f ca="1">IFERROR(__xludf.DUMMYFUNCTION("GOOGLETRANSLATE(A1455,""fr"",""en"")"),"to flatten")</f>
        <v>to flatten</v>
      </c>
      <c r="E1455" s="3" t="str">
        <f ca="1">IFERROR(__xludf.DUMMYFUNCTION("GOOGLETRANSLATE(B1455,""fr"",""en"")"),"It smooths the road to facilitate traffic.")</f>
        <v>It smooths the road to facilitate traffic.</v>
      </c>
    </row>
    <row r="1456" spans="1:5" x14ac:dyDescent="0.25">
      <c r="A1456" s="2" t="s">
        <v>4367</v>
      </c>
      <c r="B1456" s="2" t="s">
        <v>4368</v>
      </c>
      <c r="C1456" s="3" t="s">
        <v>4369</v>
      </c>
      <c r="D1456" s="3" t="str">
        <f ca="1">IFERROR(__xludf.DUMMYFUNCTION("GOOGLETRANSLATE(A1456,""fr"",""en"")"),"unlock")</f>
        <v>unlock</v>
      </c>
      <c r="E1456" s="3" t="str">
        <f ca="1">IFERROR(__xludf.DUMMYFUNCTION("GOOGLETRANSLATE(B1456,""fr"",""en"")"),"She unlocks the door with her key.")</f>
        <v>She unlocks the door with her key.</v>
      </c>
    </row>
    <row r="1457" spans="1:5" x14ac:dyDescent="0.25">
      <c r="A1457" s="2" t="s">
        <v>4370</v>
      </c>
      <c r="B1457" s="2" t="s">
        <v>4371</v>
      </c>
      <c r="C1457" s="3" t="s">
        <v>4372</v>
      </c>
      <c r="D1457" s="3" t="str">
        <f ca="1">IFERROR(__xludf.DUMMYFUNCTION("GOOGLETRANSLATE(A1457,""fr"",""en"")"),"to cry out")</f>
        <v>to cry out</v>
      </c>
      <c r="E1457" s="3" t="str">
        <f ca="1">IFERROR(__xludf.DUMMYFUNCTION("GOOGLETRANSLATE(B1457,""fr"",""en"")"),"She protests at the injustice of the decision.")</f>
        <v>She protests at the injustice of the decision.</v>
      </c>
    </row>
    <row r="1458" spans="1:5" x14ac:dyDescent="0.25">
      <c r="A1458" s="2" t="s">
        <v>4373</v>
      </c>
      <c r="B1458" s="2" t="s">
        <v>4374</v>
      </c>
      <c r="C1458" s="3" t="s">
        <v>4375</v>
      </c>
      <c r="D1458" s="3" t="str">
        <f ca="1">IFERROR(__xludf.DUMMYFUNCTION("GOOGLETRANSLATE(A1458,""fr"",""en"")"),"sponsor")</f>
        <v>sponsor</v>
      </c>
      <c r="E1458" s="3" t="str">
        <f ca="1">IFERROR(__xludf.DUMMYFUNCTION("GOOGLETRANSLATE(B1458,""fr"",""en"")"),"They sponsor a child in need.")</f>
        <v>They sponsor a child in need.</v>
      </c>
    </row>
    <row r="1459" spans="1:5" x14ac:dyDescent="0.25">
      <c r="A1459" s="2" t="s">
        <v>4376</v>
      </c>
      <c r="B1459" s="2" t="s">
        <v>4377</v>
      </c>
      <c r="C1459" s="3" t="s">
        <v>4378</v>
      </c>
      <c r="D1459" s="3" t="str">
        <f ca="1">IFERROR(__xludf.DUMMYFUNCTION("GOOGLETRANSLATE(A1459,""fr"",""en"")"),"calibrate")</f>
        <v>calibrate</v>
      </c>
      <c r="E1459" s="3" t="str">
        <f ca="1">IFERROR(__xludf.DUMMYFUNCTION("GOOGLETRANSLATE(B1459,""fr"",""en"")"),"It calibrates the measuring instrument precisely.")</f>
        <v>It calibrates the measuring instrument precisely.</v>
      </c>
    </row>
    <row r="1460" spans="1:5" x14ac:dyDescent="0.25">
      <c r="A1460" s="2" t="s">
        <v>4379</v>
      </c>
      <c r="B1460" s="2" t="s">
        <v>4380</v>
      </c>
      <c r="C1460" s="3" t="s">
        <v>4381</v>
      </c>
      <c r="D1460" s="3" t="str">
        <f ca="1">IFERROR(__xludf.DUMMYFUNCTION("GOOGLETRANSLATE(A1460,""fr"",""en"")"),"to reconduct")</f>
        <v>to reconduct</v>
      </c>
      <c r="E1460" s="3" t="str">
        <f ca="1">IFERROR(__xludf.DUMMYFUNCTION("GOOGLETRANSLATE(B1460,""fr"",""en"")"),"They are renewing the contract for another year.")</f>
        <v>They are renewing the contract for another year.</v>
      </c>
    </row>
    <row r="1461" spans="1:5" x14ac:dyDescent="0.25">
      <c r="A1461" s="2" t="s">
        <v>4382</v>
      </c>
      <c r="B1461" s="2" t="s">
        <v>4383</v>
      </c>
      <c r="C1461" s="3" t="s">
        <v>4384</v>
      </c>
      <c r="D1461" s="3" t="str">
        <f ca="1">IFERROR(__xludf.DUMMYFUNCTION("GOOGLETRANSLATE(A1461,""fr"",""en"")"),"parchment")</f>
        <v>parchment</v>
      </c>
      <c r="E1461" s="3" t="str">
        <f ca="1">IFERROR(__xludf.DUMMYFUNCTION("GOOGLETRANSLATE(B1461,""fr"",""en"")"),"He parchments the diploma with an official seal.")</f>
        <v>He parchments the diploma with an official seal.</v>
      </c>
    </row>
    <row r="1462" spans="1:5" x14ac:dyDescent="0.25">
      <c r="A1462" s="2" t="s">
        <v>4385</v>
      </c>
      <c r="B1462" s="2" t="s">
        <v>4386</v>
      </c>
      <c r="C1462" s="3" t="s">
        <v>4387</v>
      </c>
      <c r="D1462" s="3" t="str">
        <f ca="1">IFERROR(__xludf.DUMMYFUNCTION("GOOGLETRANSLATE(A1462,""fr"",""en"")"),"confiscate")</f>
        <v>confiscate</v>
      </c>
      <c r="E1462" s="3" t="str">
        <f ca="1">IFERROR(__xludf.DUMMYFUNCTION("GOOGLETRANSLATE(B1462,""fr"",""en"")"),"Police confiscate illegal weapons.")</f>
        <v>Police confiscate illegal weapons.</v>
      </c>
    </row>
    <row r="1463" spans="1:5" x14ac:dyDescent="0.25">
      <c r="A1463" s="2" t="s">
        <v>4388</v>
      </c>
      <c r="B1463" s="2" t="s">
        <v>4389</v>
      </c>
      <c r="C1463" s="3" t="s">
        <v>4390</v>
      </c>
      <c r="D1463" s="3" t="str">
        <f ca="1">IFERROR(__xludf.DUMMYFUNCTION("GOOGLETRANSLATE(A1463,""fr"",""en"")"),"cause")</f>
        <v>cause</v>
      </c>
      <c r="E1463" s="3" t="str">
        <f ca="1">IFERROR(__xludf.DUMMYFUNCTION("GOOGLETRANSLATE(B1463,""fr"",""en"")"),"Bad weather causes delays in transport.")</f>
        <v>Bad weather causes delays in transport.</v>
      </c>
    </row>
    <row r="1464" spans="1:5" x14ac:dyDescent="0.25">
      <c r="A1464" s="2" t="s">
        <v>4391</v>
      </c>
      <c r="B1464" s="2" t="s">
        <v>4392</v>
      </c>
      <c r="C1464" s="3" t="s">
        <v>4393</v>
      </c>
      <c r="D1464" s="3" t="str">
        <f ca="1">IFERROR(__xludf.DUMMYFUNCTION("GOOGLETRANSLATE(A1464,""fr"",""en"")"),"beg")</f>
        <v>beg</v>
      </c>
      <c r="E1464" s="3" t="str">
        <f ca="1">IFERROR(__xludf.DUMMYFUNCTION("GOOGLETRANSLATE(B1464,""fr"",""en"")"),"She begs her parents to let her go to the party.")</f>
        <v>She begs her parents to let her go to the party.</v>
      </c>
    </row>
    <row r="1465" spans="1:5" x14ac:dyDescent="0.25">
      <c r="A1465" s="2" t="s">
        <v>4394</v>
      </c>
      <c r="B1465" s="2" t="s">
        <v>4395</v>
      </c>
      <c r="C1465" s="3" t="s">
        <v>4396</v>
      </c>
      <c r="D1465" s="3" t="str">
        <f ca="1">IFERROR(__xludf.DUMMYFUNCTION("GOOGLETRANSLATE(A1465,""fr"",""en"")"),"Bayer")</f>
        <v>Bayer</v>
      </c>
      <c r="E1465" s="3" t="str">
        <f ca="1">IFERROR(__xludf.DUMMYFUNCTION("GOOGLETRANSLATE(B1465,""fr"",""en"")"),"He yawns in boredom during the meeting.")</f>
        <v>He yawns in boredom during the meeting.</v>
      </c>
    </row>
    <row r="1466" spans="1:5" x14ac:dyDescent="0.25">
      <c r="A1466" s="2" t="s">
        <v>4397</v>
      </c>
      <c r="B1466" s="2" t="s">
        <v>4398</v>
      </c>
      <c r="C1466" s="3" t="s">
        <v>4399</v>
      </c>
      <c r="D1466" s="3" t="str">
        <f ca="1">IFERROR(__xludf.DUMMYFUNCTION("GOOGLETRANSLATE(A1466,""fr"",""en"")"),"pack")</f>
        <v>pack</v>
      </c>
      <c r="E1466" s="3" t="str">
        <f ca="1">IFERROR(__xludf.DUMMYFUNCTION("GOOGLETRANSLATE(B1466,""fr"",""en"")"),"They graze the cows in the green meadows.")</f>
        <v>They graze the cows in the green meadows.</v>
      </c>
    </row>
    <row r="1467" spans="1:5" x14ac:dyDescent="0.25">
      <c r="A1467" s="2" t="s">
        <v>4400</v>
      </c>
      <c r="B1467" s="2" t="s">
        <v>4401</v>
      </c>
      <c r="C1467" s="3" t="s">
        <v>4402</v>
      </c>
      <c r="D1467" s="3" t="str">
        <f ca="1">IFERROR(__xludf.DUMMYFUNCTION("GOOGLETRANSLATE(A1467,""fr"",""en"")"),"dose")</f>
        <v>dose</v>
      </c>
      <c r="E1467" s="3" t="str">
        <f ca="1">IFERROR(__xludf.DUMMYFUNCTION("GOOGLETRANSLATE(B1467,""fr"",""en"")"),"She measures the ingredients precisely for the recipe.")</f>
        <v>She measures the ingredients precisely for the recipe.</v>
      </c>
    </row>
    <row r="1468" spans="1:5" x14ac:dyDescent="0.25">
      <c r="A1468" s="2" t="s">
        <v>4403</v>
      </c>
      <c r="B1468" s="2" t="s">
        <v>4404</v>
      </c>
      <c r="C1468" s="3" t="s">
        <v>4405</v>
      </c>
      <c r="D1468" s="3" t="str">
        <f ca="1">IFERROR(__xludf.DUMMYFUNCTION("GOOGLETRANSLATE(A1468,""fr"",""en"")"),"handle")</f>
        <v>handle</v>
      </c>
      <c r="E1468" s="3" t="str">
        <f ca="1">IFERROR(__xludf.DUMMYFUNCTION("GOOGLETRANSLATE(B1468,""fr"",""en"")"),"He skillfully wields the hammer to nail the boards.")</f>
        <v>He skillfully wields the hammer to nail the boards.</v>
      </c>
    </row>
    <row r="1469" spans="1:5" x14ac:dyDescent="0.25">
      <c r="A1469" s="2" t="s">
        <v>4406</v>
      </c>
      <c r="B1469" s="2" t="s">
        <v>4407</v>
      </c>
      <c r="C1469" s="3" t="s">
        <v>4408</v>
      </c>
      <c r="D1469" s="3" t="str">
        <f ca="1">IFERROR(__xludf.DUMMYFUNCTION("GOOGLETRANSLATE(A1469,""fr"",""en"")"),"to impregnate")</f>
        <v>to impregnate</v>
      </c>
      <c r="E1469" s="3" t="str">
        <f ca="1">IFERROR(__xludf.DUMMYFUNCTION("GOOGLETRANSLATE(B1469,""fr"",""en"")"),"The scent of jasmine permeates the evening air.")</f>
        <v>The scent of jasmine permeates the evening air.</v>
      </c>
    </row>
    <row r="1470" spans="1:5" x14ac:dyDescent="0.25">
      <c r="A1470" s="2" t="s">
        <v>4409</v>
      </c>
      <c r="B1470" s="2" t="s">
        <v>4410</v>
      </c>
      <c r="C1470" s="3" t="s">
        <v>4411</v>
      </c>
      <c r="D1470" s="3" t="str">
        <f ca="1">IFERROR(__xludf.DUMMYFUNCTION("GOOGLETRANSLATE(A1470,""fr"",""en"")"),"migrate")</f>
        <v>migrate</v>
      </c>
      <c r="E1470" s="3" t="str">
        <f ca="1">IFERROR(__xludf.DUMMYFUNCTION("GOOGLETRANSLATE(B1470,""fr"",""en"")"),"Birds migrate to warmer climates in winter.")</f>
        <v>Birds migrate to warmer climates in winter.</v>
      </c>
    </row>
    <row r="1471" spans="1:5" x14ac:dyDescent="0.25">
      <c r="A1471" s="2" t="s">
        <v>4412</v>
      </c>
      <c r="B1471" s="2" t="s">
        <v>4413</v>
      </c>
      <c r="C1471" s="3" t="s">
        <v>4414</v>
      </c>
      <c r="D1471" s="3" t="str">
        <f ca="1">IFERROR(__xludf.DUMMYFUNCTION("GOOGLETRANSLATE(A1471,""fr"",""en"")"),"glimpse")</f>
        <v>glimpse</v>
      </c>
      <c r="E1471" s="3" t="str">
        <f ca="1">IFERROR(__xludf.DUMMYFUNCTION("GOOGLETRANSLATE(B1471,""fr"",""en"")"),"He sees a solution to the complex problem.")</f>
        <v>He sees a solution to the complex problem.</v>
      </c>
    </row>
    <row r="1472" spans="1:5" x14ac:dyDescent="0.25">
      <c r="A1472" s="2" t="s">
        <v>4415</v>
      </c>
      <c r="B1472" s="2" t="s">
        <v>4416</v>
      </c>
      <c r="C1472" s="3" t="s">
        <v>4417</v>
      </c>
      <c r="D1472" s="3" t="str">
        <f ca="1">IFERROR(__xludf.DUMMYFUNCTION("GOOGLETRANSLATE(A1472,""fr"",""en"")"),"microfilm")</f>
        <v>microfilm</v>
      </c>
      <c r="E1472" s="3" t="str">
        <f ca="1">IFERROR(__xludf.DUMMYFUNCTION("GOOGLETRANSLATE(B1472,""fr"",""en"")"),"They microfilm the archives for long-term preservation.")</f>
        <v>They microfilm the archives for long-term preservation.</v>
      </c>
    </row>
    <row r="1473" spans="1:5" x14ac:dyDescent="0.25">
      <c r="A1473" s="2" t="s">
        <v>4418</v>
      </c>
      <c r="B1473" s="2" t="s">
        <v>4419</v>
      </c>
      <c r="C1473" s="3" t="s">
        <v>4420</v>
      </c>
      <c r="D1473" s="3" t="str">
        <f ca="1">IFERROR(__xludf.DUMMYFUNCTION("GOOGLETRANSLATE(A1473,""fr"",""en"")"),"rework")</f>
        <v>rework</v>
      </c>
      <c r="E1473" s="3" t="str">
        <f ca="1">IFERROR(__xludf.DUMMYFUNCTION("GOOGLETRANSLATE(B1473,""fr"",""en"")"),"She reworks her speech to make it more convincing.")</f>
        <v>She reworks her speech to make it more convincing.</v>
      </c>
    </row>
    <row r="1474" spans="1:5" x14ac:dyDescent="0.25">
      <c r="A1474" s="2" t="s">
        <v>4421</v>
      </c>
      <c r="B1474" s="2" t="s">
        <v>4422</v>
      </c>
      <c r="C1474" s="3" t="s">
        <v>4423</v>
      </c>
      <c r="D1474" s="3" t="str">
        <f ca="1">IFERROR(__xludf.DUMMYFUNCTION("GOOGLETRANSLATE(A1474,""fr"",""en"")"),"rediscover")</f>
        <v>rediscover</v>
      </c>
      <c r="E1474" s="3" t="str">
        <f ca="1">IFERROR(__xludf.DUMMYFUNCTION("GOOGLETRANSLATE(B1474,""fr"",""en"")"),"They rediscover an ancient manuscript in the archives.")</f>
        <v>They rediscover an ancient manuscript in the archives.</v>
      </c>
    </row>
    <row r="1475" spans="1:5" x14ac:dyDescent="0.25">
      <c r="A1475" s="2" t="s">
        <v>4424</v>
      </c>
      <c r="B1475" s="2" t="s">
        <v>4425</v>
      </c>
      <c r="C1475" s="3" t="s">
        <v>4426</v>
      </c>
      <c r="D1475" s="3" t="str">
        <f ca="1">IFERROR(__xludf.DUMMYFUNCTION("GOOGLETRANSLATE(A1475,""fr"",""en"")"),"to enclose")</f>
        <v>to enclose</v>
      </c>
      <c r="E1475" s="3" t="str">
        <f ca="1">IFERROR(__xludf.DUMMYFUNCTION("GOOGLETRANSLATE(B1475,""fr"",""en"")"),"He closes the sale with an agreement satisfactory to all parties.")</f>
        <v>He closes the sale with an agreement satisfactory to all parties.</v>
      </c>
    </row>
    <row r="1476" spans="1:5" x14ac:dyDescent="0.25">
      <c r="A1476" s="2" t="s">
        <v>4427</v>
      </c>
      <c r="B1476" s="2" t="s">
        <v>4428</v>
      </c>
      <c r="C1476" s="3" t="s">
        <v>4429</v>
      </c>
      <c r="D1476" s="3" t="str">
        <f ca="1">IFERROR(__xludf.DUMMYFUNCTION("GOOGLETRANSLATE(A1476,""fr"",""en"")"),"reconnect")</f>
        <v>reconnect</v>
      </c>
      <c r="E1476" s="3" t="str">
        <f ca="1">IFERROR(__xludf.DUMMYFUNCTION("GOOGLETRANSLATE(B1476,""fr"",""en"")"),"They rekindle their friendship after years of separation.")</f>
        <v>They rekindle their friendship after years of separation.</v>
      </c>
    </row>
    <row r="1477" spans="1:5" x14ac:dyDescent="0.25">
      <c r="A1477" s="2" t="s">
        <v>4430</v>
      </c>
      <c r="B1477" s="2" t="s">
        <v>4431</v>
      </c>
      <c r="C1477" s="3" t="s">
        <v>4432</v>
      </c>
      <c r="D1477" s="3" t="str">
        <f ca="1">IFERROR(__xludf.DUMMYFUNCTION("GOOGLETRANSLATE(A1477,""fr"",""en"")"),"camp")</f>
        <v>camp</v>
      </c>
      <c r="E1477" s="3" t="str">
        <f ca="1">IFERROR(__xludf.DUMMYFUNCTION("GOOGLETRANSLATE(B1477,""fr"",""en"")"),"They camp near the lake during the summer holidays.")</f>
        <v>They camp near the lake during the summer holidays.</v>
      </c>
    </row>
    <row r="1478" spans="1:5" x14ac:dyDescent="0.25">
      <c r="A1478" s="2" t="s">
        <v>4433</v>
      </c>
      <c r="B1478" s="2" t="s">
        <v>4434</v>
      </c>
      <c r="C1478" s="3" t="s">
        <v>4435</v>
      </c>
      <c r="D1478" s="3" t="str">
        <f ca="1">IFERROR(__xludf.DUMMYFUNCTION("GOOGLETRANSLATE(A1478,""fr"",""en"")"),"to arise")</f>
        <v>to arise</v>
      </c>
      <c r="E1478" s="3" t="str">
        <f ca="1">IFERROR(__xludf.DUMMYFUNCTION("GOOGLETRANSLATE(B1478,""fr"",""en"")"),"The consequences of this policy stem from previous decisions.")</f>
        <v>The consequences of this policy stem from previous decisions.</v>
      </c>
    </row>
    <row r="1479" spans="1:5" x14ac:dyDescent="0.25">
      <c r="A1479" s="2" t="s">
        <v>4436</v>
      </c>
      <c r="B1479" s="2" t="s">
        <v>4437</v>
      </c>
      <c r="C1479" s="3" t="s">
        <v>4438</v>
      </c>
      <c r="D1479" s="3" t="str">
        <f ca="1">IFERROR(__xludf.DUMMYFUNCTION("GOOGLETRANSLATE(A1479,""fr"",""en"")"),"to grow")</f>
        <v>to grow</v>
      </c>
      <c r="E1479" s="3" t="str">
        <f ca="1">IFERROR(__xludf.DUMMYFUNCTION("GOOGLETRANSLATE(B1479,""fr"",""en"")"),"His muscle volume has increased after months of intensive training.")</f>
        <v>His muscle volume has increased after months of intensive training.</v>
      </c>
    </row>
    <row r="1480" spans="1:5" x14ac:dyDescent="0.25">
      <c r="A1480" s="2" t="s">
        <v>4439</v>
      </c>
      <c r="B1480" s="2" t="s">
        <v>4440</v>
      </c>
      <c r="C1480" s="3" t="s">
        <v>4441</v>
      </c>
      <c r="D1480" s="3" t="str">
        <f ca="1">IFERROR(__xludf.DUMMYFUNCTION("GOOGLETRANSLATE(A1480,""fr"",""en"")"),"scratch")</f>
        <v>scratch</v>
      </c>
      <c r="E1480" s="3" t="str">
        <f ca="1">IFERROR(__xludf.DUMMYFUNCTION("GOOGLETRANSLATE(B1480,""fr"",""en"")"),"She gently scratches her dog's head.")</f>
        <v>She gently scratches her dog's head.</v>
      </c>
    </row>
    <row r="1481" spans="1:5" x14ac:dyDescent="0.25">
      <c r="A1481" s="2" t="s">
        <v>4442</v>
      </c>
      <c r="B1481" s="2" t="s">
        <v>4443</v>
      </c>
      <c r="C1481" s="3" t="s">
        <v>4444</v>
      </c>
      <c r="D1481" s="3" t="str">
        <f ca="1">IFERROR(__xludf.DUMMYFUNCTION("GOOGLETRANSLATE(A1481,""fr"",""en"")"),"rubberize")</f>
        <v>rubberize</v>
      </c>
      <c r="E1481" s="3" t="str">
        <f ca="1">IFERROR(__xludf.DUMMYFUNCTION("GOOGLETRANSLATE(B1481,""fr"",""en"")"),"It rubberizes the vehicle's wheels for better grip.")</f>
        <v>It rubberizes the vehicle's wheels for better grip.</v>
      </c>
    </row>
    <row r="1482" spans="1:5" x14ac:dyDescent="0.25">
      <c r="A1482" s="2" t="s">
        <v>4445</v>
      </c>
      <c r="B1482" s="2" t="s">
        <v>4446</v>
      </c>
      <c r="C1482" s="3" t="s">
        <v>4447</v>
      </c>
      <c r="D1482" s="3" t="str">
        <f ca="1">IFERROR(__xludf.DUMMYFUNCTION("GOOGLETRANSLATE(A1482,""fr"",""en"")"),"boast")</f>
        <v>boast</v>
      </c>
      <c r="E1482" s="3" t="str">
        <f ca="1">IFERROR(__xludf.DUMMYFUNCTION("GOOGLETRANSLATE(B1482,""fr"",""en"")"),"He boasts about his skills during the job interview.")</f>
        <v>He boasts about his skills during the job interview.</v>
      </c>
    </row>
    <row r="1483" spans="1:5" x14ac:dyDescent="0.25">
      <c r="A1483" s="2" t="s">
        <v>4448</v>
      </c>
      <c r="B1483" s="2" t="s">
        <v>4449</v>
      </c>
      <c r="C1483" s="3" t="s">
        <v>4450</v>
      </c>
      <c r="D1483" s="3" t="str">
        <f ca="1">IFERROR(__xludf.DUMMYFUNCTION("GOOGLETRANSLATE(A1483,""fr"",""en"")"),"to disturb")</f>
        <v>to disturb</v>
      </c>
      <c r="E1483" s="3" t="str">
        <f ca="1">IFERROR(__xludf.DUMMYFUNCTION("GOOGLETRANSLATE(B1483,""fr"",""en"")"),"His sudden disappearance upsets all those close to him.")</f>
        <v>His sudden disappearance upsets all those close to him.</v>
      </c>
    </row>
    <row r="1484" spans="1:5" x14ac:dyDescent="0.25">
      <c r="A1484" s="2" t="s">
        <v>4451</v>
      </c>
      <c r="B1484" s="2" t="s">
        <v>4452</v>
      </c>
      <c r="C1484" s="3" t="s">
        <v>4453</v>
      </c>
      <c r="D1484" s="3" t="str">
        <f ca="1">IFERROR(__xludf.DUMMYFUNCTION("GOOGLETRANSLATE(A1484,""fr"",""en"")"),"reactivate")</f>
        <v>reactivate</v>
      </c>
      <c r="E1484" s="3" t="str">
        <f ca="1">IFERROR(__xludf.DUMMYFUNCTION("GOOGLETRANSLATE(B1484,""fr"",""en"")"),"They are reactivating the project after months of suspension.")</f>
        <v>They are reactivating the project after months of suspension.</v>
      </c>
    </row>
    <row r="1485" spans="1:5" x14ac:dyDescent="0.25">
      <c r="A1485" s="2" t="s">
        <v>4454</v>
      </c>
      <c r="B1485" s="2" t="s">
        <v>4455</v>
      </c>
      <c r="C1485" s="3" t="s">
        <v>4456</v>
      </c>
      <c r="D1485" s="3" t="str">
        <f ca="1">IFERROR(__xludf.DUMMYFUNCTION("GOOGLETRANSLATE(A1485,""fr"",""en"")"),"subject")</f>
        <v>subject</v>
      </c>
      <c r="E1485" s="3" t="str">
        <f ca="1">IFERROR(__xludf.DUMMYFUNCTION("GOOGLETRANSLATE(B1485,""fr"",""en"")"),"He tames the horse to prepare it for riding.")</f>
        <v>He tames the horse to prepare it for riding.</v>
      </c>
    </row>
    <row r="1486" spans="1:5" x14ac:dyDescent="0.25">
      <c r="A1486" s="2" t="s">
        <v>4457</v>
      </c>
      <c r="B1486" s="2" t="s">
        <v>4458</v>
      </c>
      <c r="C1486" s="3" t="s">
        <v>4459</v>
      </c>
      <c r="D1486" s="3" t="str">
        <f ca="1">IFERROR(__xludf.DUMMYFUNCTION("GOOGLETRANSLATE(A1486,""fr"",""en"")"),"subscribe")</f>
        <v>subscribe</v>
      </c>
      <c r="E1486" s="3" t="str">
        <f ca="1">IFERROR(__xludf.DUMMYFUNCTION("GOOGLETRANSLATE(B1486,""fr"",""en"")"),"They subscribe to several magazines to stay informed.")</f>
        <v>They subscribe to several magazines to stay informed.</v>
      </c>
    </row>
    <row r="1487" spans="1:5" x14ac:dyDescent="0.25">
      <c r="A1487" s="2" t="s">
        <v>4460</v>
      </c>
      <c r="B1487" s="2" t="s">
        <v>4461</v>
      </c>
      <c r="C1487" s="3" t="s">
        <v>4462</v>
      </c>
      <c r="D1487" s="3" t="str">
        <f ca="1">IFERROR(__xludf.DUMMYFUNCTION("GOOGLETRANSLATE(A1487,""fr"",""en"")"),"wait")</f>
        <v>wait</v>
      </c>
      <c r="E1487" s="3" t="str">
        <f ca="1">IFERROR(__xludf.DUMMYFUNCTION("GOOGLETRANSLATE(B1487,""fr"",""en"")"),"He waits calmly in the waiting room.")</f>
        <v>He waits calmly in the waiting room.</v>
      </c>
    </row>
    <row r="1488" spans="1:5" x14ac:dyDescent="0.25">
      <c r="A1488" s="2" t="s">
        <v>4463</v>
      </c>
      <c r="B1488" s="2" t="s">
        <v>4464</v>
      </c>
      <c r="C1488" s="3" t="s">
        <v>4465</v>
      </c>
      <c r="D1488" s="3" t="str">
        <f ca="1">IFERROR(__xludf.DUMMYFUNCTION("GOOGLETRANSLATE(A1488,""fr"",""en"")"),"succeed")</f>
        <v>succeed</v>
      </c>
      <c r="E1488" s="3" t="str">
        <f ca="1">IFERROR(__xludf.DUMMYFUNCTION("GOOGLETRANSLATE(B1488,""fr"",""en"")"),"She succeeds her father at the head of the family business.")</f>
        <v>She succeeds her father at the head of the family business.</v>
      </c>
    </row>
    <row r="1489" spans="1:5" x14ac:dyDescent="0.25">
      <c r="A1489" s="2" t="s">
        <v>4466</v>
      </c>
      <c r="B1489" s="2" t="s">
        <v>4467</v>
      </c>
      <c r="C1489" s="3" t="s">
        <v>4468</v>
      </c>
      <c r="D1489" s="3" t="str">
        <f ca="1">IFERROR(__xludf.DUMMYFUNCTION("GOOGLETRANSLATE(A1489,""fr"",""en"")"),"tanner")</f>
        <v>tanner</v>
      </c>
      <c r="E1489" s="3" t="str">
        <f ca="1">IFERROR(__xludf.DUMMYFUNCTION("GOOGLETRANSLATE(B1489,""fr"",""en"")"),"He tans leather to make bags and belts.")</f>
        <v>He tans leather to make bags and belts.</v>
      </c>
    </row>
    <row r="1490" spans="1:5" x14ac:dyDescent="0.25">
      <c r="A1490" s="2" t="s">
        <v>4469</v>
      </c>
      <c r="B1490" s="2" t="s">
        <v>4470</v>
      </c>
      <c r="C1490" s="3" t="s">
        <v>4471</v>
      </c>
      <c r="D1490" s="3" t="str">
        <f ca="1">IFERROR(__xludf.DUMMYFUNCTION("GOOGLETRANSLATE(A1490,""fr"",""en"")"),"chew")</f>
        <v>chew</v>
      </c>
      <c r="E1490" s="3" t="str">
        <f ca="1">IFERROR(__xludf.DUMMYFUNCTION("GOOGLETRANSLATE(B1490,""fr"",""en"")"),"She chews her food slowly to savor it.")</f>
        <v>She chews her food slowly to savor it.</v>
      </c>
    </row>
    <row r="1491" spans="1:5" x14ac:dyDescent="0.25">
      <c r="A1491" s="2" t="s">
        <v>4472</v>
      </c>
      <c r="B1491" s="2" t="s">
        <v>4473</v>
      </c>
      <c r="C1491" s="3" t="s">
        <v>4474</v>
      </c>
      <c r="D1491" s="3" t="str">
        <f ca="1">IFERROR(__xludf.DUMMYFUNCTION("GOOGLETRANSLATE(A1491,""fr"",""en"")"),"soak")</f>
        <v>soak</v>
      </c>
      <c r="E1491" s="3" t="str">
        <f ca="1">IFERROR(__xludf.DUMMYFUNCTION("GOOGLETRANSLATE(B1491,""fr"",""en"")"),"He dips the brush into the paint before starting to paint.")</f>
        <v>He dips the brush into the paint before starting to paint.</v>
      </c>
    </row>
    <row r="1492" spans="1:5" x14ac:dyDescent="0.25">
      <c r="A1492" s="2" t="s">
        <v>4475</v>
      </c>
      <c r="B1492" s="2" t="s">
        <v>4476</v>
      </c>
      <c r="C1492" s="3" t="s">
        <v>4477</v>
      </c>
      <c r="D1492" s="3" t="str">
        <f ca="1">IFERROR(__xludf.DUMMYFUNCTION("GOOGLETRANSLATE(A1492,""fr"",""en"")"),"fern")</f>
        <v>fern</v>
      </c>
      <c r="E1492" s="3" t="str">
        <f ca="1">IFERROR(__xludf.DUMMYFUNCTION("GOOGLETRANSLATE(B1492,""fr"",""en"")"),"They dig up the earth to plant the new seeds.")</f>
        <v>They dig up the earth to plant the new seeds.</v>
      </c>
    </row>
    <row r="1493" spans="1:5" x14ac:dyDescent="0.25">
      <c r="A1493" s="2" t="s">
        <v>4478</v>
      </c>
      <c r="B1493" s="2" t="s">
        <v>4479</v>
      </c>
      <c r="C1493" s="3" t="s">
        <v>4480</v>
      </c>
      <c r="D1493" s="3" t="str">
        <f ca="1">IFERROR(__xludf.DUMMYFUNCTION("GOOGLETRANSLATE(A1493,""fr"",""en"")"),"sample")</f>
        <v>sample</v>
      </c>
      <c r="E1493" s="3" t="str">
        <f ca="1">IFERROR(__xludf.DUMMYFUNCTION("GOOGLETRANSLATE(B1493,""fr"",""en"")"),"It samples consumer opinions to improve the product.")</f>
        <v>It samples consumer opinions to improve the product.</v>
      </c>
    </row>
    <row r="1494" spans="1:5" x14ac:dyDescent="0.25">
      <c r="A1494" s="2" t="s">
        <v>4481</v>
      </c>
      <c r="B1494" s="2" t="s">
        <v>4482</v>
      </c>
      <c r="C1494" s="3" t="s">
        <v>4483</v>
      </c>
      <c r="D1494" s="3" t="str">
        <f ca="1">IFERROR(__xludf.DUMMYFUNCTION("GOOGLETRANSLATE(A1494,""fr"",""en"")"),"plywood")</f>
        <v>plywood</v>
      </c>
      <c r="E1494" s="3" t="str">
        <f ca="1">IFERROR(__xludf.DUMMYFUNCTION("GOOGLETRANSLATE(B1494,""fr"",""en"")"),"They ply the wood to build a new piece of furniture.")</f>
        <v>They ply the wood to build a new piece of furniture.</v>
      </c>
    </row>
    <row r="1495" spans="1:5" x14ac:dyDescent="0.25">
      <c r="A1495" s="2" t="s">
        <v>4484</v>
      </c>
      <c r="B1495" s="2" t="s">
        <v>4485</v>
      </c>
      <c r="C1495" s="3" t="s">
        <v>4486</v>
      </c>
      <c r="D1495" s="3" t="str">
        <f ca="1">IFERROR(__xludf.DUMMYFUNCTION("GOOGLETRANSLATE(A1495,""fr"",""en"")"),"redirect")</f>
        <v>redirect</v>
      </c>
      <c r="E1495" s="3" t="str">
        <f ca="1">IFERROR(__xludf.DUMMYFUNCTION("GOOGLETRANSLATE(B1495,""fr"",""en"")"),"She redirects calls to customer service.")</f>
        <v>She redirects calls to customer service.</v>
      </c>
    </row>
    <row r="1496" spans="1:5" x14ac:dyDescent="0.25">
      <c r="A1496" s="2" t="s">
        <v>4487</v>
      </c>
      <c r="B1496" s="2" t="s">
        <v>4488</v>
      </c>
      <c r="C1496" s="3" t="s">
        <v>4489</v>
      </c>
      <c r="D1496" s="3" t="str">
        <f ca="1">IFERROR(__xludf.DUMMYFUNCTION("GOOGLETRANSLATE(A1496,""fr"",""en"")"),"to knight")</f>
        <v>to knight</v>
      </c>
      <c r="E1496" s="3" t="str">
        <f ca="1">IFERROR(__xludf.DUMMYFUNCTION("GOOGLETRANSLATE(B1496,""fr"",""en"")"),"He rides his opponent in the chess tournament.")</f>
        <v>He rides his opponent in the chess tournament.</v>
      </c>
    </row>
    <row r="1497" spans="1:5" x14ac:dyDescent="0.25">
      <c r="A1497" s="2" t="s">
        <v>4490</v>
      </c>
      <c r="B1497" s="2" t="s">
        <v>4491</v>
      </c>
      <c r="C1497" s="3" t="s">
        <v>4492</v>
      </c>
      <c r="D1497" s="3" t="str">
        <f ca="1">IFERROR(__xludf.DUMMYFUNCTION("GOOGLETRANSLATE(A1497,""fr"",""en"")"),"list")</f>
        <v>list</v>
      </c>
      <c r="E1497" s="3" t="str">
        <f ca="1">IFERROR(__xludf.DUMMYFUNCTION("GOOGLETRANSLATE(B1497,""fr"",""en"")"),"They list all the bird species observed in the region.")</f>
        <v>They list all the bird species observed in the region.</v>
      </c>
    </row>
    <row r="1498" spans="1:5" x14ac:dyDescent="0.25">
      <c r="A1498" s="2" t="s">
        <v>4493</v>
      </c>
      <c r="B1498" s="2" t="s">
        <v>4494</v>
      </c>
      <c r="C1498" s="3" t="s">
        <v>4495</v>
      </c>
      <c r="D1498" s="3" t="str">
        <f ca="1">IFERROR(__xludf.DUMMYFUNCTION("GOOGLETRANSLATE(A1498,""fr"",""en"")"),"put on")</f>
        <v>put on</v>
      </c>
      <c r="E1498" s="3" t="str">
        <f ca="1">IFERROR(__xludf.DUMMYFUNCTION("GOOGLETRANSLATE(B1498,""fr"",""en"")"),"She puts on her coat before going out into the cold.")</f>
        <v>She puts on her coat before going out into the cold.</v>
      </c>
    </row>
    <row r="1499" spans="1:5" x14ac:dyDescent="0.25">
      <c r="A1499" s="2" t="s">
        <v>4496</v>
      </c>
      <c r="B1499" s="2" t="s">
        <v>4497</v>
      </c>
      <c r="C1499" s="3" t="s">
        <v>4498</v>
      </c>
      <c r="D1499" s="3" t="str">
        <f ca="1">IFERROR(__xludf.DUMMYFUNCTION("GOOGLETRANSLATE(A1499,""fr"",""en"")"),"comfort")</f>
        <v>comfort</v>
      </c>
      <c r="E1499" s="3" t="str">
        <f ca="1">IFERROR(__xludf.DUMMYFUNCTION("GOOGLETRANSLATE(B1499,""fr"",""en"")"),"He comforts his friend after a romantic disappointment.")</f>
        <v>He comforts his friend after a romantic disappointment.</v>
      </c>
    </row>
    <row r="1500" spans="1:5" x14ac:dyDescent="0.25">
      <c r="A1500" s="2" t="s">
        <v>4499</v>
      </c>
      <c r="B1500" s="2" t="s">
        <v>4500</v>
      </c>
      <c r="C1500" s="3" t="s">
        <v>4501</v>
      </c>
      <c r="D1500" s="3" t="str">
        <f ca="1">IFERROR(__xludf.DUMMYFUNCTION("GOOGLETRANSLATE(A1500,""fr"",""en"")"),"match")</f>
        <v>match</v>
      </c>
      <c r="E1500" s="3" t="str">
        <f ca="1">IFERROR(__xludf.DUMMYFUNCTION("GOOGLETRANSLATE(B1500,""fr"",""en"")"),"They match colors to create harmony in the decoration.")</f>
        <v>They match colors to create harmony in the decoration.</v>
      </c>
    </row>
    <row r="1501" spans="1:5" x14ac:dyDescent="0.25">
      <c r="A1501" s="2" t="s">
        <v>4502</v>
      </c>
      <c r="B1501" s="2" t="s">
        <v>4503</v>
      </c>
      <c r="C1501" s="3" t="s">
        <v>4504</v>
      </c>
      <c r="D1501" s="3" t="str">
        <f ca="1">IFERROR(__xludf.DUMMYFUNCTION("GOOGLETRANSLATE(A1501,""fr"",""en"")"),"sequence")</f>
        <v>sequence</v>
      </c>
      <c r="E1501" s="3" t="str">
        <f ca="1">IFERROR(__xludf.DUMMYFUNCTION("GOOGLETRANSLATE(B1501,""fr"",""en"")"),"Scientists sequence DNA to understand genetics.")</f>
        <v>Scientists sequence DNA to understand genetics.</v>
      </c>
    </row>
    <row r="1502" spans="1:5" x14ac:dyDescent="0.25">
      <c r="A1502" s="2" t="s">
        <v>4505</v>
      </c>
      <c r="B1502" s="2" t="s">
        <v>4506</v>
      </c>
      <c r="C1502" s="3" t="s">
        <v>4507</v>
      </c>
      <c r="D1502" s="3" t="str">
        <f ca="1">IFERROR(__xludf.DUMMYFUNCTION("GOOGLETRANSLATE(A1502,""fr"",""en"")"),"underexploit")</f>
        <v>underexploit</v>
      </c>
      <c r="E1502" s="3" t="str">
        <f ca="1">IFERROR(__xludf.DUMMYFUNCTION("GOOGLETRANSLATE(B1502,""fr"",""en"")"),"Natural resources must not be underexploited.")</f>
        <v>Natural resources must not be underexploited.</v>
      </c>
    </row>
    <row r="1503" spans="1:5" x14ac:dyDescent="0.25">
      <c r="A1503" s="2" t="s">
        <v>4508</v>
      </c>
      <c r="B1503" s="2" t="s">
        <v>4509</v>
      </c>
      <c r="C1503" s="3" t="s">
        <v>4510</v>
      </c>
      <c r="D1503" s="3" t="str">
        <f ca="1">IFERROR(__xludf.DUMMYFUNCTION("GOOGLETRANSLATE(A1503,""fr"",""en"")"),"come from")</f>
        <v>come from</v>
      </c>
      <c r="E1503" s="3" t="str">
        <f ca="1">IFERROR(__xludf.DUMMYFUNCTION("GOOGLETRANSLATE(B1503,""fr"",""en"")"),"Where do these strange noises come from at night?")</f>
        <v>Where do these strange noises come from at night?</v>
      </c>
    </row>
    <row r="1504" spans="1:5" x14ac:dyDescent="0.25">
      <c r="A1504" s="2" t="s">
        <v>4511</v>
      </c>
      <c r="B1504" s="2" t="s">
        <v>4512</v>
      </c>
      <c r="C1504" s="3" t="s">
        <v>4513</v>
      </c>
      <c r="D1504" s="3" t="str">
        <f ca="1">IFERROR(__xludf.DUMMYFUNCTION("GOOGLETRANSLATE(A1504,""fr"",""en"")"),"digest")</f>
        <v>digest</v>
      </c>
      <c r="E1504" s="3" t="str">
        <f ca="1">IFERROR(__xludf.DUMMYFUNCTION("GOOGLETRANSLATE(B1504,""fr"",""en"")"),"She has trouble digesting spicy foods.")</f>
        <v>She has trouble digesting spicy foods.</v>
      </c>
    </row>
    <row r="1505" spans="1:5" x14ac:dyDescent="0.25">
      <c r="A1505" s="2" t="s">
        <v>4514</v>
      </c>
      <c r="B1505" s="2" t="s">
        <v>4515</v>
      </c>
      <c r="C1505" s="3" t="s">
        <v>4516</v>
      </c>
      <c r="D1505" s="3" t="str">
        <f ca="1">IFERROR(__xludf.DUMMYFUNCTION("GOOGLETRANSLATE(A1505,""fr"",""en"")"),"rehabilitate")</f>
        <v>rehabilitate</v>
      </c>
      <c r="E1505" s="3" t="str">
        <f ca="1">IFERROR(__xludf.DUMMYFUNCTION("GOOGLETRANSLATE(B1505,""fr"",""en"")"),"The government is working to rehabilitate disadvantaged neighborhoods.")</f>
        <v>The government is working to rehabilitate disadvantaged neighborhoods.</v>
      </c>
    </row>
    <row r="1506" spans="1:5" x14ac:dyDescent="0.25">
      <c r="A1506" s="2" t="s">
        <v>4517</v>
      </c>
      <c r="B1506" s="2" t="s">
        <v>4518</v>
      </c>
      <c r="C1506" s="3" t="s">
        <v>4519</v>
      </c>
      <c r="D1506" s="3" t="str">
        <f ca="1">IFERROR(__xludf.DUMMYFUNCTION("GOOGLETRANSLATE(A1506,""fr"",""en"")"),"abuse")</f>
        <v>abuse</v>
      </c>
      <c r="E1506" s="3" t="str">
        <f ca="1">IFERROR(__xludf.DUMMYFUNCTION("GOOGLETRANSLATE(B1506,""fr"",""en"")"),"We must not abuse the trust of others.")</f>
        <v>We must not abuse the trust of others.</v>
      </c>
    </row>
    <row r="1507" spans="1:5" x14ac:dyDescent="0.25">
      <c r="A1507" s="2" t="s">
        <v>4520</v>
      </c>
      <c r="B1507" s="2" t="s">
        <v>4521</v>
      </c>
      <c r="C1507" s="3" t="s">
        <v>4522</v>
      </c>
      <c r="D1507" s="3" t="str">
        <f ca="1">IFERROR(__xludf.DUMMYFUNCTION("GOOGLETRANSLATE(A1507,""fr"",""en"")"),"plaster")</f>
        <v>plaster</v>
      </c>
      <c r="E1507" s="3" t="str">
        <f ca="1">IFERROR(__xludf.DUMMYFUNCTION("GOOGLETRANSLATE(B1507,""fr"",""en"")"),"They will plaster the walls of the house with a colored coating.")</f>
        <v>They will plaster the walls of the house with a colored coating.</v>
      </c>
    </row>
    <row r="1508" spans="1:5" x14ac:dyDescent="0.25">
      <c r="A1508" s="2" t="s">
        <v>4523</v>
      </c>
      <c r="B1508" s="2" t="s">
        <v>4524</v>
      </c>
      <c r="C1508" s="3" t="s">
        <v>4525</v>
      </c>
      <c r="D1508" s="3" t="str">
        <f ca="1">IFERROR(__xludf.DUMMYFUNCTION("GOOGLETRANSLATE(A1508,""fr"",""en"")"),"articulate")</f>
        <v>articulate</v>
      </c>
      <c r="E1508" s="3" t="str">
        <f ca="1">IFERROR(__xludf.DUMMYFUNCTION("GOOGLETRANSLATE(B1508,""fr"",""en"")"),"She articulates every word clearly when speaking in public.")</f>
        <v>She articulates every word clearly when speaking in public.</v>
      </c>
    </row>
    <row r="1509" spans="1:5" x14ac:dyDescent="0.25">
      <c r="A1509" s="2" t="s">
        <v>4526</v>
      </c>
      <c r="B1509" s="2" t="s">
        <v>4527</v>
      </c>
      <c r="C1509" s="3" t="s">
        <v>4528</v>
      </c>
      <c r="D1509" s="3" t="str">
        <f ca="1">IFERROR(__xludf.DUMMYFUNCTION("GOOGLETRANSLATE(A1509,""fr"",""en"")"),"persist")</f>
        <v>persist</v>
      </c>
      <c r="E1509" s="3" t="str">
        <f ca="1">IFERROR(__xludf.DUMMYFUNCTION("GOOGLETRANSLATE(B1509,""fr"",""en"")"),"Despite the difficulties, he persists in his efforts to succeed.")</f>
        <v>Despite the difficulties, he persists in his efforts to succeed.</v>
      </c>
    </row>
    <row r="1510" spans="1:5" x14ac:dyDescent="0.25">
      <c r="A1510" s="2" t="s">
        <v>4529</v>
      </c>
      <c r="B1510" s="2" t="s">
        <v>4530</v>
      </c>
      <c r="C1510" s="3" t="s">
        <v>4531</v>
      </c>
      <c r="D1510" s="3" t="str">
        <f ca="1">IFERROR(__xludf.DUMMYFUNCTION("GOOGLETRANSLATE(A1510,""fr"",""en"")"),"coincide")</f>
        <v>coincide</v>
      </c>
      <c r="E1510" s="3" t="str">
        <f ca="1">IFERROR(__xludf.DUMMYFUNCTION("GOOGLETRANSLATE(B1510,""fr"",""en"")"),"The date of his birthday coincides with the national holiday.")</f>
        <v>The date of his birthday coincides with the national holiday.</v>
      </c>
    </row>
    <row r="1511" spans="1:5" x14ac:dyDescent="0.25">
      <c r="A1511" s="2" t="s">
        <v>4532</v>
      </c>
      <c r="B1511" s="2" t="s">
        <v>4533</v>
      </c>
      <c r="C1511" s="3" t="s">
        <v>4534</v>
      </c>
      <c r="D1511" s="3" t="str">
        <f ca="1">IFERROR(__xludf.DUMMYFUNCTION("GOOGLETRANSLATE(A1511,""fr"",""en"")"),"deglute")</f>
        <v>deglute</v>
      </c>
      <c r="E1511" s="3" t="str">
        <f ca="1">IFERROR(__xludf.DUMMYFUNCTION("GOOGLETRANSLATE(B1511,""fr"",""en"")"),"You need to thin the paint to get the right texture.")</f>
        <v>You need to thin the paint to get the right texture.</v>
      </c>
    </row>
    <row r="1512" spans="1:5" x14ac:dyDescent="0.25">
      <c r="A1512" s="2" t="s">
        <v>4535</v>
      </c>
      <c r="B1512" s="2" t="s">
        <v>4536</v>
      </c>
      <c r="C1512" s="3" t="s">
        <v>4537</v>
      </c>
      <c r="D1512" s="3" t="str">
        <f ca="1">IFERROR(__xludf.DUMMYFUNCTION("GOOGLETRANSLATE(A1512,""fr"",""en"")"),"redistribute")</f>
        <v>redistribute</v>
      </c>
      <c r="E1512" s="3" t="str">
        <f ca="1">IFERROR(__xludf.DUMMYFUNCTION("GOOGLETRANSLATE(B1512,""fr"",""en"")"),"The government must redistribute wealth more equitably.")</f>
        <v>The government must redistribute wealth more equitably.</v>
      </c>
    </row>
    <row r="1513" spans="1:5" x14ac:dyDescent="0.25">
      <c r="A1513" s="2" t="s">
        <v>4538</v>
      </c>
      <c r="B1513" s="2" t="s">
        <v>4539</v>
      </c>
      <c r="C1513" s="3" t="s">
        <v>4540</v>
      </c>
      <c r="D1513" s="3" t="str">
        <f ca="1">IFERROR(__xludf.DUMMYFUNCTION("GOOGLETRANSLATE(A1513,""fr"",""en"")"),"reset")</f>
        <v>reset</v>
      </c>
      <c r="E1513" s="3" t="str">
        <f ca="1">IFERROR(__xludf.DUMMYFUNCTION("GOOGLETRANSLATE(B1513,""fr"",""en"")"),"He has to reset his phone to fix the problems.")</f>
        <v>He has to reset his phone to fix the problems.</v>
      </c>
    </row>
    <row r="1514" spans="1:5" x14ac:dyDescent="0.25">
      <c r="A1514" s="2" t="s">
        <v>4541</v>
      </c>
      <c r="B1514" s="2" t="s">
        <v>4542</v>
      </c>
      <c r="C1514" s="3" t="s">
        <v>4543</v>
      </c>
      <c r="D1514" s="3" t="str">
        <f ca="1">IFERROR(__xludf.DUMMYFUNCTION("GOOGLETRANSLATE(A1514,""fr"",""en"")"),"legitimize")</f>
        <v>legitimize</v>
      </c>
      <c r="E1514" s="3" t="str">
        <f ca="1">IFERROR(__xludf.DUMMYFUNCTION("GOOGLETRANSLATE(B1514,""fr"",""en"")"),"They are seeking to legitimize their claim with the authorities.")</f>
        <v>They are seeking to legitimize their claim with the authorities.</v>
      </c>
    </row>
    <row r="1515" spans="1:5" x14ac:dyDescent="0.25">
      <c r="A1515" s="2" t="s">
        <v>4544</v>
      </c>
      <c r="B1515" s="2" t="s">
        <v>4545</v>
      </c>
      <c r="C1515" s="3" t="s">
        <v>4546</v>
      </c>
      <c r="D1515" s="3" t="str">
        <f ca="1">IFERROR(__xludf.DUMMYFUNCTION("GOOGLETRANSLATE(A1515,""fr"",""en"")"),"booster")</f>
        <v>booster</v>
      </c>
      <c r="E1515" s="3" t="str">
        <f ca="1">IFERROR(__xludf.DUMMYFUNCTION("GOOGLETRANSLATE(B1515,""fr"",""en"")"),"This product helps boost plant growth.")</f>
        <v>This product helps boost plant growth.</v>
      </c>
    </row>
    <row r="1516" spans="1:5" x14ac:dyDescent="0.25">
      <c r="A1516" s="2" t="s">
        <v>4547</v>
      </c>
      <c r="B1516" s="2" t="s">
        <v>4548</v>
      </c>
      <c r="C1516" s="3" t="s">
        <v>4549</v>
      </c>
      <c r="D1516" s="3" t="str">
        <f ca="1">IFERROR(__xludf.DUMMYFUNCTION("GOOGLETRANSLATE(A1516,""fr"",""en"")"),"to dismiss")</f>
        <v>to dismiss</v>
      </c>
      <c r="E1516" s="3" t="str">
        <f ca="1">IFERROR(__xludf.DUMMYFUNCTION("GOOGLETRANSLATE(B1516,""fr"",""en"")"),"The company will lay off several employees to cut costs.")</f>
        <v>The company will lay off several employees to cut costs.</v>
      </c>
    </row>
    <row r="1517" spans="1:5" x14ac:dyDescent="0.25">
      <c r="A1517" s="2" t="s">
        <v>4550</v>
      </c>
      <c r="B1517" s="2" t="s">
        <v>4551</v>
      </c>
      <c r="C1517" s="3" t="s">
        <v>4552</v>
      </c>
      <c r="D1517" s="3" t="str">
        <f ca="1">IFERROR(__xludf.DUMMYFUNCTION("GOOGLETRANSLATE(A1517,""fr"",""en"")"),"chat")</f>
        <v>chat</v>
      </c>
      <c r="E1517" s="3" t="str">
        <f ca="1">IFERROR(__xludf.DUMMYFUNCTION("GOOGLETRANSLATE(B1517,""fr"",""en"")"),"They chat happily over a cup of coffee.")</f>
        <v>They chat happily over a cup of coffee.</v>
      </c>
    </row>
    <row r="1518" spans="1:5" x14ac:dyDescent="0.25">
      <c r="A1518" s="2" t="s">
        <v>4553</v>
      </c>
      <c r="B1518" s="2" t="s">
        <v>4554</v>
      </c>
      <c r="C1518" s="3" t="s">
        <v>4555</v>
      </c>
      <c r="D1518" s="3" t="str">
        <f ca="1">IFERROR(__xludf.DUMMYFUNCTION("GOOGLETRANSLATE(A1518,""fr"",""en"")"),"charge")</f>
        <v>charge</v>
      </c>
      <c r="E1518" s="3" t="str">
        <f ca="1">IFERROR(__xludf.DUMMYFUNCTION("GOOGLETRANSLATE(B1518,""fr"",""en"")"),"The prosecutor decides to charge him with tax fraud.")</f>
        <v>The prosecutor decides to charge him with tax fraud.</v>
      </c>
    </row>
    <row r="1519" spans="1:5" x14ac:dyDescent="0.25">
      <c r="A1519" s="2" t="s">
        <v>4556</v>
      </c>
      <c r="B1519" s="2" t="s">
        <v>4557</v>
      </c>
      <c r="C1519" s="3" t="s">
        <v>4558</v>
      </c>
      <c r="D1519" s="3" t="str">
        <f ca="1">IFERROR(__xludf.DUMMYFUNCTION("GOOGLETRANSLATE(A1519,""fr"",""en"")"),"archive")</f>
        <v>archive</v>
      </c>
      <c r="E1519" s="3" t="str">
        <f ca="1">IFERROR(__xludf.DUMMYFUNCTION("GOOGLETRANSLATE(B1519,""fr"",""en"")"),"These important documents must be archived for safekeeping.")</f>
        <v>These important documents must be archived for safekeeping.</v>
      </c>
    </row>
    <row r="1520" spans="1:5" x14ac:dyDescent="0.25">
      <c r="A1520" s="2" t="s">
        <v>4559</v>
      </c>
      <c r="B1520" s="2" t="s">
        <v>4560</v>
      </c>
      <c r="C1520" s="3" t="s">
        <v>4561</v>
      </c>
      <c r="D1520" s="3" t="str">
        <f ca="1">IFERROR(__xludf.DUMMYFUNCTION("GOOGLETRANSLATE(A1520,""fr"",""en"")"),"flex")</f>
        <v>flex</v>
      </c>
      <c r="E1520" s="3" t="str">
        <f ca="1">IFERROR(__xludf.DUMMYFUNCTION("GOOGLETRANSLATE(B1520,""fr"",""en"")"),"He bent his knees before jumping over the wall.")</f>
        <v>He bent his knees before jumping over the wall.</v>
      </c>
    </row>
    <row r="1521" spans="1:5" x14ac:dyDescent="0.25">
      <c r="A1521" s="2" t="s">
        <v>4562</v>
      </c>
      <c r="B1521" s="2" t="s">
        <v>4563</v>
      </c>
      <c r="C1521" s="3" t="s">
        <v>4564</v>
      </c>
      <c r="D1521" s="3" t="str">
        <f ca="1">IFERROR(__xludf.DUMMYFUNCTION("GOOGLETRANSLATE(A1521,""fr"",""en"")"),"probe")</f>
        <v>probe</v>
      </c>
      <c r="E1521" s="3" t="str">
        <f ca="1">IFERROR(__xludf.DUMMYFUNCTION("GOOGLETRANSLATE(B1521,""fr"",""en"")"),"Researchers survey public opinion on government policies.")</f>
        <v>Researchers survey public opinion on government policies.</v>
      </c>
    </row>
    <row r="1522" spans="1:5" x14ac:dyDescent="0.25">
      <c r="A1522" s="2" t="s">
        <v>4565</v>
      </c>
      <c r="B1522" s="2" t="s">
        <v>4566</v>
      </c>
      <c r="C1522" s="3" t="s">
        <v>4567</v>
      </c>
      <c r="D1522" s="3" t="str">
        <f ca="1">IFERROR(__xludf.DUMMYFUNCTION("GOOGLETRANSLATE(A1522,""fr"",""en"")"),"to indulge")</f>
        <v>to indulge</v>
      </c>
      <c r="E1522" s="3" t="str">
        <f ca="1">IFERROR(__xludf.DUMMYFUNCTION("GOOGLETRANSLATE(B1522,""fr"",""en"")"),"He enjoys painting in his free time.")</f>
        <v>He enjoys painting in his free time.</v>
      </c>
    </row>
    <row r="1523" spans="1:5" x14ac:dyDescent="0.25">
      <c r="A1523" s="2" t="s">
        <v>4568</v>
      </c>
      <c r="B1523" s="2" t="s">
        <v>4569</v>
      </c>
      <c r="C1523" s="3" t="s">
        <v>4570</v>
      </c>
      <c r="D1523" s="3" t="str">
        <f ca="1">IFERROR(__xludf.DUMMYFUNCTION("GOOGLETRANSLATE(A1523,""fr"",""en"")"),"to walk")</f>
        <v>to walk</v>
      </c>
      <c r="E1523" s="3" t="str">
        <f ca="1">IFERROR(__xludf.DUMMYFUNCTION("GOOGLETRANSLATE(B1523,""fr"",""en"")"),"During the holidays, they walk along the beach.")</f>
        <v>During the holidays, they walk along the beach.</v>
      </c>
    </row>
    <row r="1524" spans="1:5" x14ac:dyDescent="0.25">
      <c r="A1524" s="2" t="s">
        <v>4571</v>
      </c>
      <c r="B1524" s="2" t="s">
        <v>4572</v>
      </c>
      <c r="C1524" s="3" t="s">
        <v>4573</v>
      </c>
      <c r="D1524" s="3" t="str">
        <f ca="1">IFERROR(__xludf.DUMMYFUNCTION("GOOGLETRANSLATE(A1524,""fr"",""en"")"),"ski")</f>
        <v>ski</v>
      </c>
      <c r="E1524" s="3" t="str">
        <f ca="1">IFERROR(__xludf.DUMMYFUNCTION("GOOGLETRANSLATE(B1524,""fr"",""en"")"),"They ski in the Alps every winter.")</f>
        <v>They ski in the Alps every winter.</v>
      </c>
    </row>
    <row r="1525" spans="1:5" x14ac:dyDescent="0.25">
      <c r="A1525" s="2" t="s">
        <v>4574</v>
      </c>
      <c r="B1525" s="2" t="s">
        <v>4575</v>
      </c>
      <c r="C1525" s="3" t="s">
        <v>4576</v>
      </c>
      <c r="D1525" s="3" t="str">
        <f ca="1">IFERROR(__xludf.DUMMYFUNCTION("GOOGLETRANSLATE(A1525,""fr"",""en"")"),"repatriate")</f>
        <v>repatriate</v>
      </c>
      <c r="E1525" s="3" t="str">
        <f ca="1">IFERROR(__xludf.DUMMYFUNCTION("GOOGLETRANSLATE(B1525,""fr"",""en"")"),"The government is repatriating its nationals stranded abroad.")</f>
        <v>The government is repatriating its nationals stranded abroad.</v>
      </c>
    </row>
    <row r="1526" spans="1:5" x14ac:dyDescent="0.25">
      <c r="A1526" s="2" t="s">
        <v>4577</v>
      </c>
      <c r="B1526" s="2" t="s">
        <v>4578</v>
      </c>
      <c r="C1526" s="3" t="s">
        <v>4579</v>
      </c>
      <c r="D1526" s="3" t="str">
        <f ca="1">IFERROR(__xludf.DUMMYFUNCTION("GOOGLETRANSLATE(A1526,""fr"",""en"")"),"classify")</f>
        <v>classify</v>
      </c>
      <c r="E1526" s="3" t="str">
        <f ca="1">IFERROR(__xludf.DUMMYFUNCTION("GOOGLETRANSLATE(B1526,""fr"",""en"")"),"She works to classify butterfly species.")</f>
        <v>She works to classify butterfly species.</v>
      </c>
    </row>
    <row r="1527" spans="1:5" x14ac:dyDescent="0.25">
      <c r="A1527" s="2" t="s">
        <v>4580</v>
      </c>
      <c r="B1527" s="2" t="s">
        <v>4581</v>
      </c>
      <c r="C1527" s="3" t="s">
        <v>4582</v>
      </c>
      <c r="D1527" s="3" t="str">
        <f ca="1">IFERROR(__xludf.DUMMYFUNCTION("GOOGLETRANSLATE(A1527,""fr"",""en"")"),"exaggerate")</f>
        <v>exaggerate</v>
      </c>
      <c r="E1527" s="3" t="str">
        <f ca="1">IFERROR(__xludf.DUMMYFUNCTION("GOOGLETRANSLATE(B1527,""fr"",""en"")"),"Do not exaggerate the facts in your report.")</f>
        <v>Do not exaggerate the facts in your report.</v>
      </c>
    </row>
    <row r="1528" spans="1:5" x14ac:dyDescent="0.25">
      <c r="A1528" s="2" t="s">
        <v>4583</v>
      </c>
      <c r="B1528" s="2" t="s">
        <v>4584</v>
      </c>
      <c r="C1528" s="3" t="s">
        <v>4585</v>
      </c>
      <c r="D1528" s="3" t="str">
        <f ca="1">IFERROR(__xludf.DUMMYFUNCTION("GOOGLETRANSLATE(A1528,""fr"",""en"")"),"sink")</f>
        <v>sink</v>
      </c>
      <c r="E1528" s="3" t="str">
        <f ca="1">IFERROR(__xludf.DUMMYFUNCTION("GOOGLETRANSLATE(B1528,""fr"",""en"")"),"The country's economy appears to be slipping into recession.")</f>
        <v>The country's economy appears to be slipping into recession.</v>
      </c>
    </row>
    <row r="1529" spans="1:5" x14ac:dyDescent="0.25">
      <c r="A1529" s="2" t="s">
        <v>4586</v>
      </c>
      <c r="B1529" s="2" t="s">
        <v>4587</v>
      </c>
      <c r="C1529" s="3" t="s">
        <v>4588</v>
      </c>
      <c r="D1529" s="3" t="str">
        <f ca="1">IFERROR(__xludf.DUMMYFUNCTION("GOOGLETRANSLATE(A1529,""fr"",""en"")"),"degrade")</f>
        <v>degrade</v>
      </c>
      <c r="E1529" s="3" t="str">
        <f ca="1">IFERROR(__xludf.DUMMYFUNCTION("GOOGLETRANSLATE(B1529,""fr"",""en"")"),"Acid rain can damage historic monuments.")</f>
        <v>Acid rain can damage historic monuments.</v>
      </c>
    </row>
    <row r="1530" spans="1:5" x14ac:dyDescent="0.25">
      <c r="A1530" s="2" t="s">
        <v>4589</v>
      </c>
      <c r="B1530" s="2" t="s">
        <v>4590</v>
      </c>
      <c r="C1530" s="3" t="s">
        <v>4591</v>
      </c>
      <c r="D1530" s="3" t="str">
        <f ca="1">IFERROR(__xludf.DUMMYFUNCTION("GOOGLETRANSLATE(A1530,""fr"",""en"")"),"complete")</f>
        <v>complete</v>
      </c>
      <c r="E1530" s="3" t="str">
        <f ca="1">IFERROR(__xludf.DUMMYFUNCTION("GOOGLETRANSLATE(B1530,""fr"",""en"")"),"This project must be completed before the end of the week.")</f>
        <v>This project must be completed before the end of the week.</v>
      </c>
    </row>
    <row r="1531" spans="1:5" x14ac:dyDescent="0.25">
      <c r="A1531" s="2" t="s">
        <v>4592</v>
      </c>
      <c r="B1531" s="2" t="s">
        <v>4593</v>
      </c>
      <c r="C1531" s="3" t="s">
        <v>4594</v>
      </c>
      <c r="D1531" s="3" t="str">
        <f ca="1">IFERROR(__xludf.DUMMYFUNCTION("GOOGLETRANSLATE(A1531,""fr"",""en"")"),"terminate")</f>
        <v>terminate</v>
      </c>
      <c r="E1531" s="3" t="str">
        <f ca="1">IFERROR(__xludf.DUMMYFUNCTION("GOOGLETRANSLATE(B1531,""fr"",""en"")"),"Customers can terminate their contract at any time.")</f>
        <v>Customers can terminate their contract at any time.</v>
      </c>
    </row>
    <row r="1532" spans="1:5" x14ac:dyDescent="0.25">
      <c r="A1532" s="2" t="s">
        <v>4595</v>
      </c>
      <c r="B1532" s="2" t="s">
        <v>4596</v>
      </c>
      <c r="C1532" s="3" t="s">
        <v>4597</v>
      </c>
      <c r="D1532" s="3" t="str">
        <f ca="1">IFERROR(__xludf.DUMMYFUNCTION("GOOGLETRANSLATE(A1532,""fr"",""en"")"),"protest")</f>
        <v>protest</v>
      </c>
      <c r="E1532" s="3" t="str">
        <f ca="1">IFERROR(__xludf.DUMMYFUNCTION("GOOGLETRANSLATE(B1532,""fr"",""en"")"),"They decide to protest against the price increase.")</f>
        <v>They decide to protest against the price increase.</v>
      </c>
    </row>
    <row r="1533" spans="1:5" x14ac:dyDescent="0.25">
      <c r="A1533" s="2" t="s">
        <v>4598</v>
      </c>
      <c r="B1533" s="2" t="s">
        <v>4599</v>
      </c>
      <c r="C1533" s="3" t="s">
        <v>4600</v>
      </c>
      <c r="D1533" s="3" t="str">
        <f ca="1">IFERROR(__xludf.DUMMYFUNCTION("GOOGLETRANSLATE(A1533,""fr"",""en"")"),"chronicle")</f>
        <v>chronicle</v>
      </c>
      <c r="E1533" s="3" t="str">
        <f ca="1">IFERROR(__xludf.DUMMYFUNCTION("GOOGLETRANSLATE(B1533,""fr"",""en"")"),"He chronicles political events in his newspaper.")</f>
        <v>He chronicles political events in his newspaper.</v>
      </c>
    </row>
    <row r="1534" spans="1:5" x14ac:dyDescent="0.25">
      <c r="A1534" s="2" t="s">
        <v>4601</v>
      </c>
      <c r="B1534" s="2" t="s">
        <v>4602</v>
      </c>
      <c r="C1534" s="3" t="s">
        <v>4603</v>
      </c>
      <c r="D1534" s="3" t="str">
        <f ca="1">IFERROR(__xludf.DUMMYFUNCTION("GOOGLETRANSLATE(A1534,""fr"",""en"")"),"cheat")</f>
        <v>cheat</v>
      </c>
      <c r="E1534" s="3" t="str">
        <f ca="1">IFERROR(__xludf.DUMMYFUNCTION("GOOGLETRANSLATE(B1534,""fr"",""en"")"),"Cheating on exams can lead to serious consequences.")</f>
        <v>Cheating on exams can lead to serious consequences.</v>
      </c>
    </row>
    <row r="1535" spans="1:5" x14ac:dyDescent="0.25">
      <c r="A1535" s="2" t="s">
        <v>4604</v>
      </c>
      <c r="B1535" s="2" t="s">
        <v>4605</v>
      </c>
      <c r="C1535" s="3" t="s">
        <v>4606</v>
      </c>
      <c r="D1535" s="3" t="str">
        <f ca="1">IFERROR(__xludf.DUMMYFUNCTION("GOOGLETRANSLATE(A1535,""fr"",""en"")"),"support")</f>
        <v>support</v>
      </c>
      <c r="E1535" s="3" t="str">
        <f ca="1">IFERROR(__xludf.DUMMYFUNCTION("GOOGLETRANSLATE(B1535,""fr"",""en"")"),"She supports him in his moving project.")</f>
        <v>She supports him in his moving project.</v>
      </c>
    </row>
    <row r="1536" spans="1:5" x14ac:dyDescent="0.25">
      <c r="A1536" s="2" t="s">
        <v>4607</v>
      </c>
      <c r="B1536" s="2" t="s">
        <v>4608</v>
      </c>
      <c r="C1536" s="3" t="s">
        <v>4609</v>
      </c>
      <c r="D1536" s="3" t="str">
        <f ca="1">IFERROR(__xludf.DUMMYFUNCTION("GOOGLETRANSLATE(A1536,""fr"",""en"")"),"confess")</f>
        <v>confess</v>
      </c>
      <c r="E1536" s="3" t="str">
        <f ca="1">IFERROR(__xludf.DUMMYFUNCTION("GOOGLETRANSLATE(B1536,""fr"",""en"")"),"He finally admits his mistake and confesses to his friends.")</f>
        <v>He finally admits his mistake and confesses to his friends.</v>
      </c>
    </row>
    <row r="1537" spans="1:5" x14ac:dyDescent="0.25">
      <c r="A1537" s="2" t="s">
        <v>4610</v>
      </c>
      <c r="B1537" s="2" t="s">
        <v>4611</v>
      </c>
      <c r="C1537" s="3" t="s">
        <v>4612</v>
      </c>
      <c r="D1537" s="3" t="str">
        <f ca="1">IFERROR(__xludf.DUMMYFUNCTION("GOOGLETRANSLATE(A1537,""fr"",""en"")"),"corner")</f>
        <v>corner</v>
      </c>
      <c r="E1537" s="3" t="str">
        <f ca="1">IFERROR(__xludf.DUMMYFUNCTION("GOOGLETRANSLATE(B1537,""fr"",""en"")"),"The rooster crowed at dawn.")</f>
        <v>The rooster crowed at dawn.</v>
      </c>
    </row>
    <row r="1538" spans="1:5" x14ac:dyDescent="0.25">
      <c r="A1538" s="2" t="s">
        <v>4613</v>
      </c>
      <c r="B1538" s="2" t="s">
        <v>4614</v>
      </c>
      <c r="C1538" s="3" t="s">
        <v>4615</v>
      </c>
      <c r="D1538" s="3" t="str">
        <f ca="1">IFERROR(__xludf.DUMMYFUNCTION("GOOGLETRANSLATE(A1538,""fr"",""en"")"),"tremble")</f>
        <v>tremble</v>
      </c>
      <c r="E1538" s="3" t="str">
        <f ca="1">IFERROR(__xludf.DUMMYFUNCTION("GOOGLETRANSLATE(B1538,""fr"",""en"")"),"She is shivering with cold despite her thick coat.")</f>
        <v>She is shivering with cold despite her thick coat.</v>
      </c>
    </row>
    <row r="1539" spans="1:5" x14ac:dyDescent="0.25">
      <c r="A1539" s="2" t="s">
        <v>4616</v>
      </c>
      <c r="B1539" s="2" t="s">
        <v>4617</v>
      </c>
      <c r="C1539" s="3" t="s">
        <v>4618</v>
      </c>
      <c r="D1539" s="3" t="str">
        <f ca="1">IFERROR(__xludf.DUMMYFUNCTION("GOOGLETRANSLATE(A1539,""fr"",""en"")"),"baker")</f>
        <v>baker</v>
      </c>
      <c r="E1539" s="3" t="str">
        <f ca="1">IFERROR(__xludf.DUMMYFUNCTION("GOOGLETRANSLATE(B1539,""fr"",""en"")"),"The baker bakes fresh bread every morning.")</f>
        <v>The baker bakes fresh bread every morning.</v>
      </c>
    </row>
    <row r="1540" spans="1:5" x14ac:dyDescent="0.25">
      <c r="A1540" s="2" t="s">
        <v>4619</v>
      </c>
      <c r="B1540" s="2" t="s">
        <v>4620</v>
      </c>
      <c r="C1540" s="3" t="s">
        <v>4621</v>
      </c>
      <c r="D1540" s="3" t="str">
        <f ca="1">IFERROR(__xludf.DUMMYFUNCTION("GOOGLETRANSLATE(A1540,""fr"",""en"")"),"to hang up")</f>
        <v>to hang up</v>
      </c>
      <c r="E1540" s="3" t="str">
        <f ca="1">IFERROR(__xludf.DUMMYFUNCTION("GOOGLETRANSLATE(B1540,""fr"",""en"")"),"She abruptly hangs up the phone in anger.")</f>
        <v>She abruptly hangs up the phone in anger.</v>
      </c>
    </row>
    <row r="1541" spans="1:5" x14ac:dyDescent="0.25">
      <c r="A1541" s="2" t="s">
        <v>4622</v>
      </c>
      <c r="B1541" s="2" t="s">
        <v>4623</v>
      </c>
      <c r="C1541" s="3" t="s">
        <v>4624</v>
      </c>
      <c r="D1541" s="3" t="str">
        <f ca="1">IFERROR(__xludf.DUMMYFUNCTION("GOOGLETRANSLATE(A1541,""fr"",""en"")"),"to scold")</f>
        <v>to scold</v>
      </c>
      <c r="E1541" s="3" t="str">
        <f ca="1">IFERROR(__xludf.DUMMYFUNCTION("GOOGLETRANSLATE(B1541,""fr"",""en"")"),"The teacher severely reprimands the student for his behavior.")</f>
        <v>The teacher severely reprimands the student for his behavior.</v>
      </c>
    </row>
    <row r="1542" spans="1:5" x14ac:dyDescent="0.25">
      <c r="A1542" s="2" t="s">
        <v>4625</v>
      </c>
      <c r="B1542" s="2" t="s">
        <v>4626</v>
      </c>
      <c r="C1542" s="3" t="s">
        <v>4627</v>
      </c>
      <c r="D1542" s="3" t="str">
        <f ca="1">IFERROR(__xludf.DUMMYFUNCTION("GOOGLETRANSLATE(A1542,""fr"",""en"")"),"to weave")</f>
        <v>to weave</v>
      </c>
      <c r="E1542" s="3" t="str">
        <f ca="1">IFERROR(__xludf.DUMMYFUNCTION("GOOGLETRANSLATE(B1542,""fr"",""en"")"),"She weaves a beautiful scarf for winter.")</f>
        <v>She weaves a beautiful scarf for winter.</v>
      </c>
    </row>
    <row r="1543" spans="1:5" x14ac:dyDescent="0.25">
      <c r="A1543" s="2" t="s">
        <v>4628</v>
      </c>
      <c r="B1543" s="2" t="s">
        <v>4629</v>
      </c>
      <c r="C1543" s="3" t="s">
        <v>4630</v>
      </c>
      <c r="D1543" s="3" t="str">
        <f ca="1">IFERROR(__xludf.DUMMYFUNCTION("GOOGLETRANSLATE(A1543,""fr"",""en"")"),"require")</f>
        <v>require</v>
      </c>
      <c r="E1543" s="3" t="str">
        <f ca="1">IFERROR(__xludf.DUMMYFUNCTION("GOOGLETRANSLATE(B1543,""fr"",""en"")"),"They require emergency assistance after the accident.")</f>
        <v>They require emergency assistance after the accident.</v>
      </c>
    </row>
    <row r="1544" spans="1:5" x14ac:dyDescent="0.25">
      <c r="A1544" s="2" t="s">
        <v>4631</v>
      </c>
      <c r="B1544" s="2" t="s">
        <v>4632</v>
      </c>
      <c r="C1544" s="3" t="s">
        <v>4633</v>
      </c>
      <c r="D1544" s="3" t="str">
        <f ca="1">IFERROR(__xludf.DUMMYFUNCTION("GOOGLETRANSLATE(A1544,""fr"",""en"")"),"strangle")</f>
        <v>strangle</v>
      </c>
      <c r="E1544" s="3" t="str">
        <f ca="1">IFERROR(__xludf.DUMMYFUNCTION("GOOGLETRANSLATE(B1544,""fr"",""en"")"),"The criminal tries to strangle him during the altercation.")</f>
        <v>The criminal tries to strangle him during the altercation.</v>
      </c>
    </row>
    <row r="1545" spans="1:5" x14ac:dyDescent="0.25">
      <c r="A1545" s="2" t="s">
        <v>4634</v>
      </c>
      <c r="B1545" s="2" t="s">
        <v>4635</v>
      </c>
      <c r="C1545" s="3" t="s">
        <v>4636</v>
      </c>
      <c r="D1545" s="3" t="str">
        <f ca="1">IFERROR(__xludf.DUMMYFUNCTION("GOOGLETRANSLATE(A1545,""fr"",""en"")"),"delay")</f>
        <v>delay</v>
      </c>
      <c r="E1545" s="3" t="str">
        <f ca="1">IFERROR(__xludf.DUMMYFUNCTION("GOOGLETRANSLATE(B1545,""fr"",""en"")"),"Don't delay in submitting this important assignment.")</f>
        <v>Don't delay in submitting this important assignment.</v>
      </c>
    </row>
    <row r="1546" spans="1:5" x14ac:dyDescent="0.25">
      <c r="A1546" s="2" t="s">
        <v>4637</v>
      </c>
      <c r="B1546" s="2" t="s">
        <v>4638</v>
      </c>
      <c r="C1546" s="3" t="s">
        <v>4639</v>
      </c>
      <c r="D1546" s="3" t="str">
        <f ca="1">IFERROR(__xludf.DUMMYFUNCTION("GOOGLETRANSLATE(A1546,""fr"",""en"")"),"to weigh down")</f>
        <v>to weigh down</v>
      </c>
      <c r="E1546" s="3" t="str">
        <f ca="1">IFERROR(__xludf.DUMMYFUNCTION("GOOGLETRANSLATE(B1546,""fr"",""en"")"),"These heavy bags weigh down his shoulders.")</f>
        <v>These heavy bags weigh down his shoulders.</v>
      </c>
    </row>
    <row r="1547" spans="1:5" x14ac:dyDescent="0.25">
      <c r="A1547" s="2" t="s">
        <v>4640</v>
      </c>
      <c r="B1547" s="2" t="s">
        <v>4641</v>
      </c>
      <c r="C1547" s="3" t="s">
        <v>4642</v>
      </c>
      <c r="D1547" s="3" t="str">
        <f ca="1">IFERROR(__xludf.DUMMYFUNCTION("GOOGLETRANSLATE(A1547,""fr"",""en"")"),"contribute")</f>
        <v>contribute</v>
      </c>
      <c r="E1547" s="3" t="str">
        <f ca="1">IFERROR(__xludf.DUMMYFUNCTION("GOOGLETRANSLATE(B1547,""fr"",""en"")"),"They must contribute to their pension plan.")</f>
        <v>They must contribute to their pension plan.</v>
      </c>
    </row>
    <row r="1548" spans="1:5" x14ac:dyDescent="0.25">
      <c r="A1548" s="2" t="s">
        <v>4643</v>
      </c>
      <c r="B1548" s="2" t="s">
        <v>4644</v>
      </c>
      <c r="C1548" s="3" t="s">
        <v>4645</v>
      </c>
      <c r="D1548" s="3" t="str">
        <f ca="1">IFERROR(__xludf.DUMMYFUNCTION("GOOGLETRANSLATE(A1548,""fr"",""en"")"),"discredit")</f>
        <v>discredit</v>
      </c>
      <c r="E1548" s="3" t="str">
        <f ca="1">IFERROR(__xludf.DUMMYFUNCTION("GOOGLETRANSLATE(B1548,""fr"",""en"")"),"The unfounded rumors began to discredit him among his colleagues.")</f>
        <v>The unfounded rumors began to discredit him among his colleagues.</v>
      </c>
    </row>
    <row r="1549" spans="1:5" x14ac:dyDescent="0.25">
      <c r="A1549" s="2" t="s">
        <v>4646</v>
      </c>
      <c r="B1549" s="2" t="s">
        <v>4647</v>
      </c>
      <c r="C1549" s="3" t="s">
        <v>4648</v>
      </c>
      <c r="D1549" s="3" t="str">
        <f ca="1">IFERROR(__xludf.DUMMYFUNCTION("GOOGLETRANSLATE(A1549,""fr"",""en"")"),"distort")</f>
        <v>distort</v>
      </c>
      <c r="E1549" s="3" t="str">
        <f ca="1">IFERROR(__xludf.DUMMYFUNCTION("GOOGLETRANSLATE(B1549,""fr"",""en"")"),"One should not distort facts to support a theory.")</f>
        <v>One should not distort facts to support a theory.</v>
      </c>
    </row>
    <row r="1550" spans="1:5" x14ac:dyDescent="0.25">
      <c r="A1550" s="2" t="s">
        <v>4649</v>
      </c>
      <c r="B1550" s="2" t="s">
        <v>4650</v>
      </c>
      <c r="C1550" s="3" t="s">
        <v>4651</v>
      </c>
      <c r="D1550" s="3" t="str">
        <f ca="1">IFERROR(__xludf.DUMMYFUNCTION("GOOGLETRANSLATE(A1550,""fr"",""en"")"),"suspect")</f>
        <v>suspect</v>
      </c>
      <c r="E1550" s="3" t="str">
        <f ca="1">IFERROR(__xludf.DUMMYFUNCTION("GOOGLETRANSLATE(B1550,""fr"",""en"")"),"She suspects her neighbor of stealing her tools.")</f>
        <v>She suspects her neighbor of stealing her tools.</v>
      </c>
    </row>
    <row r="1551" spans="1:5" x14ac:dyDescent="0.25">
      <c r="A1551" s="2" t="s">
        <v>4652</v>
      </c>
      <c r="B1551" s="2" t="s">
        <v>4653</v>
      </c>
      <c r="C1551" s="3" t="s">
        <v>4654</v>
      </c>
      <c r="D1551" s="3" t="str">
        <f ca="1">IFERROR(__xludf.DUMMYFUNCTION("GOOGLETRANSLATE(A1551,""fr"",""en"")"),"sabotage")</f>
        <v>sabotage</v>
      </c>
      <c r="E1551" s="3" t="str">
        <f ca="1">IFERROR(__xludf.DUMMYFUNCTION("GOOGLETRANSLATE(B1551,""fr"",""en"")"),"The saboteurs sabotaged the neighborhood's power line.")</f>
        <v>The saboteurs sabotaged the neighborhood's power line.</v>
      </c>
    </row>
    <row r="1552" spans="1:5" x14ac:dyDescent="0.25">
      <c r="A1552" s="2" t="s">
        <v>4655</v>
      </c>
      <c r="B1552" s="2" t="s">
        <v>4656</v>
      </c>
      <c r="C1552" s="3" t="s">
        <v>4657</v>
      </c>
      <c r="D1552" s="3" t="str">
        <f ca="1">IFERROR(__xludf.DUMMYFUNCTION("GOOGLETRANSLATE(A1552,""fr"",""en"")"),"equalize")</f>
        <v>equalize</v>
      </c>
      <c r="E1552" s="3" t="str">
        <f ca="1">IFERROR(__xludf.DUMMYFUNCTION("GOOGLETRANSLATE(B1552,""fr"",""en"")"),"The team is looking to equalize the score before the end of the match.")</f>
        <v>The team is looking to equalize the score before the end of the match.</v>
      </c>
    </row>
    <row r="1553" spans="1:5" x14ac:dyDescent="0.25">
      <c r="A1553" s="2" t="s">
        <v>4658</v>
      </c>
      <c r="B1553" s="2" t="s">
        <v>4659</v>
      </c>
      <c r="C1553" s="3" t="s">
        <v>4660</v>
      </c>
      <c r="D1553" s="3" t="str">
        <f ca="1">IFERROR(__xludf.DUMMYFUNCTION("GOOGLETRANSLATE(A1553,""fr"",""en"")"),"comfort")</f>
        <v>comfort</v>
      </c>
      <c r="E1553" s="3" t="str">
        <f ca="1">IFERROR(__xludf.DUMMYFUNCTION("GOOGLETRANSLATE(B1553,""fr"",""en"")"),"Her friends comfort her after the loss of her pet.")</f>
        <v>Her friends comfort her after the loss of her pet.</v>
      </c>
    </row>
    <row r="1554" spans="1:5" x14ac:dyDescent="0.25">
      <c r="A1554" s="2" t="s">
        <v>4661</v>
      </c>
      <c r="B1554" s="2" t="s">
        <v>4662</v>
      </c>
      <c r="C1554" s="3" t="s">
        <v>4663</v>
      </c>
      <c r="D1554" s="3" t="str">
        <f ca="1">IFERROR(__xludf.DUMMYFUNCTION("GOOGLETRANSLATE(A1554,""fr"",""en"")"),"numb")</f>
        <v>numb</v>
      </c>
      <c r="E1554" s="3" t="str">
        <f ca="1">IFERROR(__xludf.DUMMYFUNCTION("GOOGLETRANSLATE(B1554,""fr"",""en"")"),"His fingers are numb from the freezing cold.")</f>
        <v>His fingers are numb from the freezing cold.</v>
      </c>
    </row>
    <row r="1555" spans="1:5" x14ac:dyDescent="0.25">
      <c r="A1555" s="2" t="s">
        <v>4664</v>
      </c>
      <c r="B1555" s="2" t="s">
        <v>4665</v>
      </c>
      <c r="C1555" s="3" t="s">
        <v>4666</v>
      </c>
      <c r="D1555" s="3" t="str">
        <f ca="1">IFERROR(__xludf.DUMMYFUNCTION("GOOGLETRANSLATE(A1555,""fr"",""en"")"),"to catch")</f>
        <v>to catch</v>
      </c>
      <c r="E1555" s="3" t="str">
        <f ca="1">IFERROR(__xludf.DUMMYFUNCTION("GOOGLETRANSLATE(B1555,""fr"",""en"")"),"He tries to catch the bus before it leaves.")</f>
        <v>He tries to catch the bus before it leaves.</v>
      </c>
    </row>
    <row r="1556" spans="1:5" x14ac:dyDescent="0.25">
      <c r="A1556" s="2" t="s">
        <v>4667</v>
      </c>
      <c r="B1556" s="2" t="s">
        <v>4668</v>
      </c>
      <c r="C1556" s="3" t="s">
        <v>4669</v>
      </c>
      <c r="D1556" s="3" t="str">
        <f ca="1">IFERROR(__xludf.DUMMYFUNCTION("GOOGLETRANSLATE(A1556,""fr"",""en"")"),"to subordinate")</f>
        <v>to subordinate</v>
      </c>
      <c r="E1556" s="3" t="str">
        <f ca="1">IFERROR(__xludf.DUMMYFUNCTION("GOOGLETRANSLATE(B1556,""fr"",""en"")"),"Managers subordinate their actions to the directives of management.")</f>
        <v>Managers subordinate their actions to the directives of management.</v>
      </c>
    </row>
    <row r="1557" spans="1:5" x14ac:dyDescent="0.25">
      <c r="A1557" s="2" t="s">
        <v>4670</v>
      </c>
      <c r="B1557" s="2" t="s">
        <v>4671</v>
      </c>
      <c r="C1557" s="3" t="s">
        <v>4672</v>
      </c>
      <c r="D1557" s="3" t="str">
        <f ca="1">IFERROR(__xludf.DUMMYFUNCTION("GOOGLETRANSLATE(A1557,""fr"",""en"")"),"poison")</f>
        <v>poison</v>
      </c>
      <c r="E1557" s="3" t="str">
        <f ca="1">IFERROR(__xludf.DUMMYFUNCTION("GOOGLETRANSLATE(B1557,""fr"",""en"")"),"Some plants can poison pets.")</f>
        <v>Some plants can poison pets.</v>
      </c>
    </row>
    <row r="1558" spans="1:5" x14ac:dyDescent="0.25">
      <c r="A1558" s="2" t="s">
        <v>4673</v>
      </c>
      <c r="B1558" s="2" t="s">
        <v>4674</v>
      </c>
      <c r="C1558" s="3" t="s">
        <v>4675</v>
      </c>
      <c r="D1558" s="3" t="str">
        <f ca="1">IFERROR(__xludf.DUMMYFUNCTION("GOOGLETRANSLATE(A1558,""fr"",""en"")"),"influence")</f>
        <v>influence</v>
      </c>
      <c r="E1558" s="3" t="str">
        <f ca="1">IFERROR(__xludf.DUMMYFUNCTION("GOOGLETRANSLATE(B1558,""fr"",""en"")"),"His words influenced my final decision.")</f>
        <v>His words influenced my final decision.</v>
      </c>
    </row>
    <row r="1559" spans="1:5" x14ac:dyDescent="0.25">
      <c r="A1559" s="2" t="s">
        <v>4676</v>
      </c>
      <c r="B1559" s="2" t="s">
        <v>4677</v>
      </c>
      <c r="C1559" s="3" t="s">
        <v>4678</v>
      </c>
      <c r="D1559" s="3" t="str">
        <f ca="1">IFERROR(__xludf.DUMMYFUNCTION("GOOGLETRANSLATE(A1559,""fr"",""en"")"),"to be reborn")</f>
        <v>to be reborn</v>
      </c>
      <c r="E1559" s="3" t="str">
        <f ca="1">IFERROR(__xludf.DUMMYFUNCTION("GOOGLETRANSLATE(B1559,""fr"",""en"")"),"After difficult years, the company is reborn under new management.")</f>
        <v>After difficult years, the company is reborn under new management.</v>
      </c>
    </row>
    <row r="1560" spans="1:5" x14ac:dyDescent="0.25">
      <c r="A1560" s="2" t="s">
        <v>4679</v>
      </c>
      <c r="B1560" s="2" t="s">
        <v>4680</v>
      </c>
      <c r="C1560" s="3" t="s">
        <v>4681</v>
      </c>
      <c r="D1560" s="3" t="str">
        <f ca="1">IFERROR(__xludf.DUMMYFUNCTION("GOOGLETRANSLATE(A1560,""fr"",""en"")"),"to counterbalance")</f>
        <v>to counterbalance</v>
      </c>
      <c r="E1560" s="3" t="str">
        <f ca="1">IFERROR(__xludf.DUMMYFUNCTION("GOOGLETRANSLATE(B1560,""fr"",""en"")"),"The forces at play counterbalance each other in this unstable region.")</f>
        <v>The forces at play counterbalance each other in this unstable region.</v>
      </c>
    </row>
    <row r="1561" spans="1:5" x14ac:dyDescent="0.25">
      <c r="A1561" s="2" t="s">
        <v>4682</v>
      </c>
      <c r="B1561" s="2" t="s">
        <v>4683</v>
      </c>
      <c r="C1561" s="3" t="s">
        <v>4684</v>
      </c>
      <c r="D1561" s="3" t="str">
        <f ca="1">IFERROR(__xludf.DUMMYFUNCTION("GOOGLETRANSLATE(A1561,""fr"",""en"")"),"relay")</f>
        <v>relay</v>
      </c>
      <c r="E1561" s="3" t="str">
        <f ca="1">IFERROR(__xludf.DUMMYFUNCTION("GOOGLETRANSLATE(B1561,""fr"",""en"")"),"He relays important information to his colleagues.")</f>
        <v>He relays important information to his colleagues.</v>
      </c>
    </row>
    <row r="1562" spans="1:5" x14ac:dyDescent="0.25">
      <c r="A1562" s="2" t="s">
        <v>4685</v>
      </c>
      <c r="B1562" s="2" t="s">
        <v>4686</v>
      </c>
      <c r="C1562" s="3" t="s">
        <v>4687</v>
      </c>
      <c r="D1562" s="3" t="str">
        <f ca="1">IFERROR(__xludf.DUMMYFUNCTION("GOOGLETRANSLATE(A1562,""fr"",""en"")"),"coexist")</f>
        <v>coexist</v>
      </c>
      <c r="E1562" s="3" t="str">
        <f ca="1">IFERROR(__xludf.DUMMYFUNCTION("GOOGLETRANSLATE(B1562,""fr"",""en"")"),"Different communities coexist peacefully in this neighborhood.")</f>
        <v>Different communities coexist peacefully in this neighborhood.</v>
      </c>
    </row>
    <row r="1563" spans="1:5" x14ac:dyDescent="0.25">
      <c r="A1563" s="2" t="s">
        <v>4688</v>
      </c>
      <c r="B1563" s="2" t="s">
        <v>4689</v>
      </c>
      <c r="C1563" s="3" t="s">
        <v>4690</v>
      </c>
      <c r="D1563" s="3" t="str">
        <f ca="1">IFERROR(__xludf.DUMMYFUNCTION("GOOGLETRANSLATE(A1563,""fr"",""en"")"),"to string")</f>
        <v>to string</v>
      </c>
      <c r="E1563" s="3" t="str">
        <f ca="1">IFERROR(__xludf.DUMMYFUNCTION("GOOGLETRANSLATE(B1563,""fr"",""en"")"),"He carefully strings the electrical wires to avoid short circuits.")</f>
        <v>He carefully strings the electrical wires to avoid short circuits.</v>
      </c>
    </row>
    <row r="1564" spans="1:5" x14ac:dyDescent="0.25">
      <c r="A1564" s="2" t="s">
        <v>4691</v>
      </c>
      <c r="B1564" s="2" t="s">
        <v>4692</v>
      </c>
      <c r="C1564" s="3" t="s">
        <v>4693</v>
      </c>
      <c r="D1564" s="3" t="str">
        <f ca="1">IFERROR(__xludf.DUMMYFUNCTION("GOOGLETRANSLATE(A1564,""fr"",""en"")"),"propel")</f>
        <v>propel</v>
      </c>
      <c r="E1564" s="3" t="str">
        <f ca="1">IFERROR(__xludf.DUMMYFUNCTION("GOOGLETRANSLATE(B1564,""fr"",""en"")"),"This engine propels the car to an impressive speed.")</f>
        <v>This engine propels the car to an impressive speed.</v>
      </c>
    </row>
    <row r="1565" spans="1:5" x14ac:dyDescent="0.25">
      <c r="A1565" s="2" t="s">
        <v>4694</v>
      </c>
      <c r="B1565" s="2" t="s">
        <v>4695</v>
      </c>
      <c r="C1565" s="3" t="s">
        <v>4696</v>
      </c>
      <c r="D1565" s="3" t="str">
        <f ca="1">IFERROR(__xludf.DUMMYFUNCTION("GOOGLETRANSLATE(A1565,""fr"",""en"")"),"swear")</f>
        <v>swear</v>
      </c>
      <c r="E1565" s="3" t="str">
        <f ca="1">IFERROR(__xludf.DUMMYFUNCTION("GOOGLETRANSLATE(B1565,""fr"",""en"")"),"He swears to tell the whole truth in court.")</f>
        <v>He swears to tell the whole truth in court.</v>
      </c>
    </row>
    <row r="1566" spans="1:5" x14ac:dyDescent="0.25">
      <c r="A1566" s="2" t="s">
        <v>4697</v>
      </c>
      <c r="B1566" s="2" t="s">
        <v>4698</v>
      </c>
      <c r="C1566" s="3" t="s">
        <v>4699</v>
      </c>
      <c r="D1566" s="3" t="str">
        <f ca="1">IFERROR(__xludf.DUMMYFUNCTION("GOOGLETRANSLATE(A1566,""fr"",""en"")"),"round")</f>
        <v>round</v>
      </c>
      <c r="E1566" s="3" t="str">
        <f ca="1">IFERROR(__xludf.DUMMYFUNCTION("GOOGLETRANSLATE(B1566,""fr"",""en"")"),"The moon gently rounds in the night sky.")</f>
        <v>The moon gently rounds in the night sky.</v>
      </c>
    </row>
    <row r="1567" spans="1:5" x14ac:dyDescent="0.25">
      <c r="A1567" s="2" t="s">
        <v>4700</v>
      </c>
      <c r="B1567" s="2" t="s">
        <v>4701</v>
      </c>
      <c r="C1567" s="3" t="s">
        <v>4702</v>
      </c>
      <c r="D1567" s="3" t="str">
        <f ca="1">IFERROR(__xludf.DUMMYFUNCTION("GOOGLETRANSLATE(A1567,""fr"",""en"")"),"hacker")</f>
        <v>hacker</v>
      </c>
      <c r="E1567" s="3" t="str">
        <f ca="1">IFERROR(__xludf.DUMMYFUNCTION("GOOGLETRANSLATE(B1567,""fr"",""en"")"),"He managed to hack the computer system using advanced techniques.")</f>
        <v>He managed to hack the computer system using advanced techniques.</v>
      </c>
    </row>
    <row r="1568" spans="1:5" x14ac:dyDescent="0.25">
      <c r="A1568" s="2" t="s">
        <v>4703</v>
      </c>
      <c r="B1568" s="2" t="s">
        <v>4704</v>
      </c>
      <c r="C1568" s="3" t="s">
        <v>4705</v>
      </c>
      <c r="D1568" s="3" t="str">
        <f ca="1">IFERROR(__xludf.DUMMYFUNCTION("GOOGLETRANSLATE(A1568,""fr"",""en"")"),"rot")</f>
        <v>rot</v>
      </c>
      <c r="E1568" s="3" t="str">
        <f ca="1">IFERROR(__xludf.DUMMYFUNCTION("GOOGLETRANSLATE(B1568,""fr"",""en"")"),"Fruits start to rot after being left outside.")</f>
        <v>Fruits start to rot after being left outside.</v>
      </c>
    </row>
    <row r="1569" spans="1:5" x14ac:dyDescent="0.25">
      <c r="A1569" s="2" t="s">
        <v>4706</v>
      </c>
      <c r="B1569" s="2" t="s">
        <v>4707</v>
      </c>
      <c r="C1569" s="3" t="s">
        <v>4708</v>
      </c>
      <c r="D1569" s="3" t="str">
        <f ca="1">IFERROR(__xludf.DUMMYFUNCTION("GOOGLETRANSLATE(A1569,""fr"",""en"")"),"candy")</f>
        <v>candy</v>
      </c>
      <c r="E1569" s="3" t="str">
        <f ca="1">IFERROR(__xludf.DUMMYFUNCTION("GOOGLETRANSLATE(B1569,""fr"",""en"")"),"They candy the fruit to make Christmas treats.")</f>
        <v>They candy the fruit to make Christmas treats.</v>
      </c>
    </row>
    <row r="1570" spans="1:5" x14ac:dyDescent="0.25">
      <c r="A1570" s="2" t="s">
        <v>4709</v>
      </c>
      <c r="B1570" s="2" t="s">
        <v>4710</v>
      </c>
      <c r="C1570" s="3" t="s">
        <v>4711</v>
      </c>
      <c r="D1570" s="3" t="str">
        <f ca="1">IFERROR(__xludf.DUMMYFUNCTION("GOOGLETRANSLATE(A1570,""fr"",""en"")"),"stack")</f>
        <v>stack</v>
      </c>
      <c r="E1570" s="3" t="str">
        <f ca="1">IFERROR(__xludf.DUMMYFUNCTION("GOOGLETRANSLATE(B1570,""fr"",""en"")"),"They stack boxes in the warehouse to save space.")</f>
        <v>They stack boxes in the warehouse to save space.</v>
      </c>
    </row>
    <row r="1571" spans="1:5" x14ac:dyDescent="0.25">
      <c r="A1571" s="2" t="s">
        <v>4712</v>
      </c>
      <c r="B1571" s="2" t="s">
        <v>4713</v>
      </c>
      <c r="C1571" s="3" t="s">
        <v>4714</v>
      </c>
      <c r="D1571" s="3" t="str">
        <f ca="1">IFERROR(__xludf.DUMMYFUNCTION("GOOGLETRANSLATE(A1571,""fr"",""en"")"),"to scratch")</f>
        <v>to scratch</v>
      </c>
      <c r="E1571" s="3" t="str">
        <f ca="1">IFERROR(__xludf.DUMMYFUNCTION("GOOGLETRANSLATE(B1571,""fr"",""en"")"),"She will remove her name from the list of participants.")</f>
        <v>She will remove her name from the list of participants.</v>
      </c>
    </row>
    <row r="1572" spans="1:5" x14ac:dyDescent="0.25">
      <c r="A1572" s="2" t="s">
        <v>4715</v>
      </c>
      <c r="B1572" s="2" t="s">
        <v>4716</v>
      </c>
      <c r="C1572" s="3" t="s">
        <v>4717</v>
      </c>
      <c r="D1572" s="3" t="str">
        <f ca="1">IFERROR(__xludf.DUMMYFUNCTION("GOOGLETRANSLATE(A1572,""fr"",""en"")"),"irradiate")</f>
        <v>irradiate</v>
      </c>
      <c r="E1572" s="3" t="str">
        <f ca="1">IFERROR(__xludf.DUMMYFUNCTION("GOOGLETRANSLATE(B1572,""fr"",""en"")"),"The sun radiates heat during the summer.")</f>
        <v>The sun radiates heat during the summer.</v>
      </c>
    </row>
    <row r="1573" spans="1:5" x14ac:dyDescent="0.25">
      <c r="A1573" s="2" t="s">
        <v>4718</v>
      </c>
      <c r="B1573" s="2" t="s">
        <v>4719</v>
      </c>
      <c r="C1573" s="3" t="s">
        <v>4720</v>
      </c>
      <c r="D1573" s="3" t="str">
        <f ca="1">IFERROR(__xludf.DUMMYFUNCTION("GOOGLETRANSLATE(A1573,""fr"",""en"")"),"revere")</f>
        <v>revere</v>
      </c>
      <c r="E1573" s="3" t="str">
        <f ca="1">IFERROR(__xludf.DUMMYFUNCTION("GOOGLETRANSLATE(B1573,""fr"",""en"")"),"They revere their ancestors through traditional rituals.")</f>
        <v>They revere their ancestors through traditional rituals.</v>
      </c>
    </row>
    <row r="1574" spans="1:5" x14ac:dyDescent="0.25">
      <c r="A1574" s="2" t="s">
        <v>4721</v>
      </c>
      <c r="B1574" s="2" t="s">
        <v>4722</v>
      </c>
      <c r="C1574" s="3" t="s">
        <v>4723</v>
      </c>
      <c r="D1574" s="3" t="str">
        <f ca="1">IFERROR(__xludf.DUMMYFUNCTION("GOOGLETRANSLATE(A1574,""fr"",""en"")"),"to wander")</f>
        <v>to wander</v>
      </c>
      <c r="E1574" s="3" t="str">
        <f ca="1">IFERROR(__xludf.DUMMYFUNCTION("GOOGLETRANSLATE(B1574,""fr"",""en"")"),"She wanders aimlessly on the beach, enjoying the sun.")</f>
        <v>She wanders aimlessly on the beach, enjoying the sun.</v>
      </c>
    </row>
    <row r="1575" spans="1:5" x14ac:dyDescent="0.25">
      <c r="A1575" s="2" t="s">
        <v>4724</v>
      </c>
      <c r="B1575" s="2" t="s">
        <v>4725</v>
      </c>
      <c r="C1575" s="3" t="s">
        <v>4726</v>
      </c>
      <c r="D1575" s="3" t="str">
        <f ca="1">IFERROR(__xludf.DUMMYFUNCTION("GOOGLETRANSLATE(A1575,""fr"",""en"")"),"escort")</f>
        <v>escort</v>
      </c>
      <c r="E1575" s="3" t="str">
        <f ca="1">IFERROR(__xludf.DUMMYFUNCTION("GOOGLETRANSLATE(B1575,""fr"",""en"")"),"They escort the president during his official visit abroad.")</f>
        <v>They escort the president during his official visit abroad.</v>
      </c>
    </row>
    <row r="1576" spans="1:5" x14ac:dyDescent="0.25">
      <c r="A1576" s="2" t="s">
        <v>4727</v>
      </c>
      <c r="B1576" s="2" t="s">
        <v>4728</v>
      </c>
      <c r="C1576" s="3" t="s">
        <v>4729</v>
      </c>
      <c r="D1576" s="3" t="str">
        <f ca="1">IFERROR(__xludf.DUMMYFUNCTION("GOOGLETRANSLATE(A1576,""fr"",""en"")"),"replicate")</f>
        <v>replicate</v>
      </c>
      <c r="E1576" s="3" t="str">
        <f ca="1">IFERROR(__xludf.DUMMYFUNCTION("GOOGLETRANSLATE(B1576,""fr"",""en"")"),"He responds firmly to all criticism.")</f>
        <v>He responds firmly to all criticism.</v>
      </c>
    </row>
    <row r="1577" spans="1:5" x14ac:dyDescent="0.25">
      <c r="A1577" s="2" t="s">
        <v>4730</v>
      </c>
      <c r="B1577" s="2" t="s">
        <v>4731</v>
      </c>
      <c r="C1577" s="3" t="s">
        <v>4732</v>
      </c>
      <c r="D1577" s="3" t="str">
        <f ca="1">IFERROR(__xludf.DUMMYFUNCTION("GOOGLETRANSLATE(A1577,""fr"",""en"")"),"reinvent")</f>
        <v>reinvent</v>
      </c>
      <c r="E1577" s="3" t="str">
        <f ca="1">IFERROR(__xludf.DUMMYFUNCTION("GOOGLETRANSLATE(B1577,""fr"",""en"")"),"They are reinventing the concept of urban mobility with this new project.")</f>
        <v>They are reinventing the concept of urban mobility with this new project.</v>
      </c>
    </row>
    <row r="1578" spans="1:5" x14ac:dyDescent="0.25">
      <c r="A1578" s="2" t="s">
        <v>4733</v>
      </c>
      <c r="B1578" s="2" t="s">
        <v>4734</v>
      </c>
      <c r="C1578" s="3" t="s">
        <v>4735</v>
      </c>
      <c r="D1578" s="3" t="str">
        <f ca="1">IFERROR(__xludf.DUMMYFUNCTION("GOOGLETRANSLATE(A1578,""fr"",""en"")"),"oscillate")</f>
        <v>oscillate</v>
      </c>
      <c r="E1578" s="3" t="str">
        <f ca="1">IFERROR(__xludf.DUMMYFUNCTION("GOOGLETRANSLATE(B1578,""fr"",""en"")"),"The pendulum swings gently back and forth.")</f>
        <v>The pendulum swings gently back and forth.</v>
      </c>
    </row>
    <row r="1579" spans="1:5" x14ac:dyDescent="0.25">
      <c r="A1579" s="2" t="s">
        <v>4736</v>
      </c>
      <c r="B1579" s="2" t="s">
        <v>4737</v>
      </c>
      <c r="C1579" s="3" t="s">
        <v>4738</v>
      </c>
      <c r="D1579" s="3" t="str">
        <f ca="1">IFERROR(__xludf.DUMMYFUNCTION("GOOGLETRANSLATE(A1579,""fr"",""en"")"),"privatize")</f>
        <v>privatize</v>
      </c>
      <c r="E1579" s="3" t="str">
        <f ca="1">IFERROR(__xludf.DUMMYFUNCTION("GOOGLETRANSLATE(B1579,""fr"",""en"")"),"The government decides to privatize certain public companies.")</f>
        <v>The government decides to privatize certain public companies.</v>
      </c>
    </row>
    <row r="1580" spans="1:5" x14ac:dyDescent="0.25">
      <c r="A1580" s="2" t="s">
        <v>4739</v>
      </c>
      <c r="B1580" s="2" t="s">
        <v>4740</v>
      </c>
      <c r="C1580" s="3" t="s">
        <v>4741</v>
      </c>
      <c r="D1580" s="3" t="str">
        <f ca="1">IFERROR(__xludf.DUMMYFUNCTION("GOOGLETRANSLATE(A1580,""fr"",""en"")"),"emigrate")</f>
        <v>emigrate</v>
      </c>
      <c r="E1580" s="3" t="str">
        <f ca="1">IFERROR(__xludf.DUMMYFUNCTION("GOOGLETRANSLATE(B1580,""fr"",""en"")"),"They are considering emigrating to a country with better opportunities.")</f>
        <v>They are considering emigrating to a country with better opportunities.</v>
      </c>
    </row>
    <row r="1581" spans="1:5" x14ac:dyDescent="0.25">
      <c r="A1581" s="2" t="s">
        <v>4742</v>
      </c>
      <c r="B1581" s="2" t="s">
        <v>4743</v>
      </c>
      <c r="C1581" s="3" t="s">
        <v>4744</v>
      </c>
      <c r="D1581" s="3" t="str">
        <f ca="1">IFERROR(__xludf.DUMMYFUNCTION("GOOGLETRANSLATE(A1581,""fr"",""en"")"),"singer")</f>
        <v>singer</v>
      </c>
      <c r="E1581" s="3" t="str">
        <f ca="1">IFERROR(__xludf.DUMMYFUNCTION("GOOGLETRANSLATE(B1581,""fr"",""en"")"),"He likes to imitate celebrities at costume parties.")</f>
        <v>He likes to imitate celebrities at costume parties.</v>
      </c>
    </row>
    <row r="1582" spans="1:5" x14ac:dyDescent="0.25">
      <c r="A1582" s="2" t="s">
        <v>4745</v>
      </c>
      <c r="B1582" s="2" t="s">
        <v>4746</v>
      </c>
      <c r="C1582" s="3" t="s">
        <v>4747</v>
      </c>
      <c r="D1582" s="3" t="str">
        <f ca="1">IFERROR(__xludf.DUMMYFUNCTION("GOOGLETRANSLATE(A1582,""fr"",""en"")"),"interconnect")</f>
        <v>interconnect</v>
      </c>
      <c r="E1582" s="3" t="str">
        <f ca="1">IFERROR(__xludf.DUMMYFUNCTION("GOOGLETRANSLATE(B1582,""fr"",""en"")"),"They interconnect computer networks for greater efficiency.")</f>
        <v>They interconnect computer networks for greater efficiency.</v>
      </c>
    </row>
    <row r="1583" spans="1:5" x14ac:dyDescent="0.25">
      <c r="A1583" s="2" t="s">
        <v>4748</v>
      </c>
      <c r="B1583" s="2" t="s">
        <v>4749</v>
      </c>
      <c r="C1583" s="3" t="s">
        <v>4750</v>
      </c>
      <c r="D1583" s="3" t="str">
        <f ca="1">IFERROR(__xludf.DUMMYFUNCTION("GOOGLETRANSLATE(A1583,""fr"",""en"")"),"reassign")</f>
        <v>reassign</v>
      </c>
      <c r="E1583" s="3" t="str">
        <f ca="1">IFERROR(__xludf.DUMMYFUNCTION("GOOGLETRANSLATE(B1583,""fr"",""en"")"),"They reallocate resources to higher priority projects.")</f>
        <v>They reallocate resources to higher priority projects.</v>
      </c>
    </row>
    <row r="1584" spans="1:5" x14ac:dyDescent="0.25">
      <c r="A1584" s="2" t="s">
        <v>4751</v>
      </c>
      <c r="B1584" s="2" t="s">
        <v>4752</v>
      </c>
      <c r="C1584" s="3" t="s">
        <v>4753</v>
      </c>
      <c r="D1584" s="3" t="str">
        <f ca="1">IFERROR(__xludf.DUMMYFUNCTION("GOOGLETRANSLATE(A1584,""fr"",""en"")"),"escort back")</f>
        <v>escort back</v>
      </c>
      <c r="E1584" s="3" t="str">
        <f ca="1">IFERROR(__xludf.DUMMYFUNCTION("GOOGLETRANSLATE(B1584,""fr"",""en"")"),"He escorts his friends back to the station after their visit.")</f>
        <v>He escorts his friends back to the station after their visit.</v>
      </c>
    </row>
    <row r="1585" spans="1:5" x14ac:dyDescent="0.25">
      <c r="A1585" s="2" t="s">
        <v>4754</v>
      </c>
      <c r="B1585" s="2" t="s">
        <v>4755</v>
      </c>
      <c r="C1585" s="3" t="s">
        <v>4756</v>
      </c>
      <c r="D1585" s="3" t="str">
        <f ca="1">IFERROR(__xludf.DUMMYFUNCTION("GOOGLETRANSLATE(A1585,""fr"",""en"")"),"group")</f>
        <v>group</v>
      </c>
      <c r="E1585" s="3" t="str">
        <f ca="1">IFERROR(__xludf.DUMMYFUNCTION("GOOGLETRANSLATE(B1585,""fr"",""en"")"),"They join forces to face adversity.")</f>
        <v>They join forces to face adversity.</v>
      </c>
    </row>
    <row r="1586" spans="1:5" x14ac:dyDescent="0.25">
      <c r="A1586" s="2" t="s">
        <v>4757</v>
      </c>
      <c r="B1586" s="2" t="s">
        <v>4758</v>
      </c>
      <c r="C1586" s="3" t="s">
        <v>4759</v>
      </c>
      <c r="D1586" s="3" t="str">
        <f ca="1">IFERROR(__xludf.DUMMYFUNCTION("GOOGLETRANSLATE(A1586,""fr"",""en"")"),"spice")</f>
        <v>spice</v>
      </c>
      <c r="E1586" s="3" t="str">
        <f ca="1">IFERROR(__xludf.DUMMYFUNCTION("GOOGLETRANSLATE(B1586,""fr"",""en"")"),"She spices up her dish with a pinch of chili.")</f>
        <v>She spices up her dish with a pinch of chili.</v>
      </c>
    </row>
    <row r="1587" spans="1:5" x14ac:dyDescent="0.25">
      <c r="A1587" s="2" t="s">
        <v>4760</v>
      </c>
      <c r="B1587" s="2" t="s">
        <v>4761</v>
      </c>
      <c r="C1587" s="3" t="s">
        <v>4762</v>
      </c>
      <c r="D1587" s="3" t="str">
        <f ca="1">IFERROR(__xludf.DUMMYFUNCTION("GOOGLETRANSLATE(A1587,""fr"",""en"")"),"color")</f>
        <v>color</v>
      </c>
      <c r="E1587" s="3" t="str">
        <f ca="1">IFERROR(__xludf.DUMMYFUNCTION("GOOGLETRANSLATE(B1587,""fr"",""en"")"),"She will color the drawing with bright, vivid pencils.")</f>
        <v>She will color the drawing with bright, vivid pencils.</v>
      </c>
    </row>
    <row r="1588" spans="1:5" x14ac:dyDescent="0.25">
      <c r="A1588" s="2" t="s">
        <v>4763</v>
      </c>
      <c r="B1588" s="2" t="s">
        <v>4764</v>
      </c>
      <c r="C1588" s="3" t="s">
        <v>4765</v>
      </c>
      <c r="D1588" s="3" t="str">
        <f ca="1">IFERROR(__xludf.DUMMYFUNCTION("GOOGLETRANSLATE(A1588,""fr"",""en"")"),"spray")</f>
        <v>spray</v>
      </c>
      <c r="E1588" s="3" t="str">
        <f ca="1">IFERROR(__xludf.DUMMYFUNCTION("GOOGLETRANSLATE(B1588,""fr"",""en"")"),"He sprays the perfume on his clothes before going out.")</f>
        <v>He sprays the perfume on his clothes before going out.</v>
      </c>
    </row>
    <row r="1589" spans="1:5" x14ac:dyDescent="0.25">
      <c r="A1589" s="2" t="s">
        <v>4766</v>
      </c>
      <c r="B1589" s="2" t="s">
        <v>4767</v>
      </c>
      <c r="C1589" s="3" t="s">
        <v>4768</v>
      </c>
      <c r="D1589" s="3" t="str">
        <f ca="1">IFERROR(__xludf.DUMMYFUNCTION("GOOGLETRANSLATE(A1589,""fr"",""en"")"),"model")</f>
        <v>model</v>
      </c>
      <c r="E1589" s="3" t="str">
        <f ca="1">IFERROR(__xludf.DUMMYFUNCTION("GOOGLETRANSLATE(B1589,""fr"",""en"")"),"She models the clay to create an original sculpture.")</f>
        <v>She models the clay to create an original sculpture.</v>
      </c>
    </row>
    <row r="1590" spans="1:5" x14ac:dyDescent="0.25">
      <c r="A1590" s="2" t="s">
        <v>4769</v>
      </c>
      <c r="B1590" s="2" t="s">
        <v>4770</v>
      </c>
      <c r="C1590" s="3" t="s">
        <v>4771</v>
      </c>
      <c r="D1590" s="3" t="str">
        <f ca="1">IFERROR(__xludf.DUMMYFUNCTION("GOOGLETRANSLATE(A1590,""fr"",""en"")"),"chafe")</f>
        <v>chafe</v>
      </c>
      <c r="E1590" s="3" t="str">
        <f ca="1">IFERROR(__xludf.DUMMYFUNCTION("GOOGLETRANSLATE(B1590,""fr"",""en"")"),"He will stew the vegetables to accompany the pasta.")</f>
        <v>He will stew the vegetables to accompany the pasta.</v>
      </c>
    </row>
    <row r="1591" spans="1:5" x14ac:dyDescent="0.25">
      <c r="A1591" s="2" t="s">
        <v>4772</v>
      </c>
      <c r="B1591" s="2" t="s">
        <v>4773</v>
      </c>
      <c r="C1591" s="3" t="s">
        <v>4774</v>
      </c>
      <c r="D1591" s="3" t="str">
        <f ca="1">IFERROR(__xludf.DUMMYFUNCTION("GOOGLETRANSLATE(A1591,""fr"",""en"")"),"wet")</f>
        <v>wet</v>
      </c>
      <c r="E1591" s="3" t="str">
        <f ca="1">IFERROR(__xludf.DUMMYFUNCTION("GOOGLETRANSLATE(B1591,""fr"",""en"")"),"Do not get your shoes wet when crossing the river.")</f>
        <v>Do not get your shoes wet when crossing the river.</v>
      </c>
    </row>
    <row r="1592" spans="1:5" x14ac:dyDescent="0.25">
      <c r="A1592" s="2" t="s">
        <v>4775</v>
      </c>
      <c r="B1592" s="2" t="s">
        <v>4776</v>
      </c>
      <c r="C1592" s="3" t="s">
        <v>4777</v>
      </c>
      <c r="D1592" s="3" t="str">
        <f ca="1">IFERROR(__xludf.DUMMYFUNCTION("GOOGLETRANSLATE(A1592,""fr"",""en"")"),"to dagger")</f>
        <v>to dagger</v>
      </c>
      <c r="E1592" s="3" t="str">
        <f ca="1">IFERROR(__xludf.DUMMYFUNCTION("GOOGLETRANSLATE(B1592,""fr"",""en"")"),"He will dagger the fabrics before sewing them.")</f>
        <v>He will dagger the fabrics before sewing them.</v>
      </c>
    </row>
    <row r="1593" spans="1:5" x14ac:dyDescent="0.25">
      <c r="A1593" s="2" t="s">
        <v>4778</v>
      </c>
      <c r="B1593" s="2" t="s">
        <v>4779</v>
      </c>
      <c r="C1593" s="3" t="s">
        <v>4780</v>
      </c>
      <c r="D1593" s="3" t="str">
        <f ca="1">IFERROR(__xludf.DUMMYFUNCTION("GOOGLETRANSLATE(A1593,""fr"",""en"")"),"award")</f>
        <v>award</v>
      </c>
      <c r="E1593" s="3" t="str">
        <f ca="1">IFERROR(__xludf.DUMMYFUNCTION("GOOGLETRANSLATE(B1593,""fr"",""en"")"),"They will award the Best Film prize at the ceremony.")</f>
        <v>They will award the Best Film prize at the ceremony.</v>
      </c>
    </row>
    <row r="1594" spans="1:5" x14ac:dyDescent="0.25">
      <c r="A1594" s="2" t="s">
        <v>4781</v>
      </c>
      <c r="B1594" s="2" t="s">
        <v>4782</v>
      </c>
      <c r="C1594" s="3" t="s">
        <v>4783</v>
      </c>
      <c r="D1594" s="3" t="str">
        <f ca="1">IFERROR(__xludf.DUMMYFUNCTION("GOOGLETRANSLATE(A1594,""fr"",""en"")"),"mixer")</f>
        <v>mixer</v>
      </c>
      <c r="E1594" s="3" t="str">
        <f ca="1">IFERROR(__xludf.DUMMYFUNCTION("GOOGLETRANSLATE(B1594,""fr"",""en"")"),"She mixes the ingredients to prepare the smoothie.")</f>
        <v>She mixes the ingredients to prepare the smoothie.</v>
      </c>
    </row>
    <row r="1595" spans="1:5" x14ac:dyDescent="0.25">
      <c r="A1595" s="2" t="s">
        <v>4784</v>
      </c>
      <c r="B1595" s="2" t="s">
        <v>4785</v>
      </c>
      <c r="C1595" s="3" t="s">
        <v>4786</v>
      </c>
      <c r="D1595" s="3" t="str">
        <f ca="1">IFERROR(__xludf.DUMMYFUNCTION("GOOGLETRANSLATE(A1595,""fr"",""en"")"),"pay out")</f>
        <v>pay out</v>
      </c>
      <c r="E1595" s="3" t="str">
        <f ca="1">IFERROR(__xludf.DUMMYFUNCTION("GOOGLETRANSLATE(B1595,""fr"",""en"")"),"He has to pay a large sum to repair his car.")</f>
        <v>He has to pay a large sum to repair his car.</v>
      </c>
    </row>
    <row r="1596" spans="1:5" x14ac:dyDescent="0.25">
      <c r="A1596" s="2" t="s">
        <v>4787</v>
      </c>
      <c r="B1596" s="2" t="s">
        <v>4788</v>
      </c>
      <c r="C1596" s="3" t="s">
        <v>4789</v>
      </c>
      <c r="D1596" s="3" t="str">
        <f ca="1">IFERROR(__xludf.DUMMYFUNCTION("GOOGLETRANSLATE(A1596,""fr"",""en"")"),"hack")</f>
        <v>hack</v>
      </c>
      <c r="E1596" s="3" t="str">
        <f ca="1">IFERROR(__xludf.DUMMYFUNCTION("GOOGLETRANSLATE(B1596,""fr"",""en"")"),"Hackers are trying to hack into the security system.")</f>
        <v>Hackers are trying to hack into the security system.</v>
      </c>
    </row>
    <row r="1597" spans="1:5" x14ac:dyDescent="0.25">
      <c r="A1597" s="2" t="s">
        <v>4790</v>
      </c>
      <c r="B1597" s="2" t="s">
        <v>4791</v>
      </c>
      <c r="C1597" s="3" t="s">
        <v>4792</v>
      </c>
      <c r="D1597" s="3" t="str">
        <f ca="1">IFERROR(__xludf.DUMMYFUNCTION("GOOGLETRANSLATE(A1597,""fr"",""en"")"),"spit")</f>
        <v>spit</v>
      </c>
      <c r="E1597" s="3" t="str">
        <f ca="1">IFERROR(__xludf.DUMMYFUNCTION("GOOGLETRANSLATE(B1597,""fr"",""en"")"),"Don't spit on the sidewalk, it's rude.")</f>
        <v>Don't spit on the sidewalk, it's rude.</v>
      </c>
    </row>
    <row r="1598" spans="1:5" x14ac:dyDescent="0.25">
      <c r="A1598" s="2" t="s">
        <v>4793</v>
      </c>
      <c r="B1598" s="2" t="s">
        <v>4794</v>
      </c>
      <c r="C1598" s="3" t="s">
        <v>4795</v>
      </c>
      <c r="D1598" s="3" t="str">
        <f ca="1">IFERROR(__xludf.DUMMYFUNCTION("GOOGLETRANSLATE(A1598,""fr"",""en"")"),"to go for it")</f>
        <v>to go for it</v>
      </c>
      <c r="E1598" s="3" t="str">
        <f ca="1">IFERROR(__xludf.DUMMYFUNCTION("GOOGLETRANSLATE(B1598,""fr"",""en"")"),"He races towards the finish line to win the race.")</f>
        <v>He races towards the finish line to win the race.</v>
      </c>
    </row>
    <row r="1599" spans="1:5" x14ac:dyDescent="0.25">
      <c r="A1599" s="2" t="s">
        <v>4796</v>
      </c>
      <c r="B1599" s="2" t="s">
        <v>4797</v>
      </c>
      <c r="C1599" s="3" t="s">
        <v>4798</v>
      </c>
      <c r="D1599" s="3" t="str">
        <f ca="1">IFERROR(__xludf.DUMMYFUNCTION("GOOGLETRANSLATE(A1599,""fr"",""en"")"),"to curb")</f>
        <v>to curb</v>
      </c>
      <c r="E1599" s="3" t="str">
        <f ca="1">IFERROR(__xludf.DUMMYFUNCTION("GOOGLETRANSLATE(B1599,""fr"",""en"")"),"This epidemic must be contained before it spreads further.")</f>
        <v>This epidemic must be contained before it spreads further.</v>
      </c>
    </row>
    <row r="1600" spans="1:5" x14ac:dyDescent="0.25">
      <c r="A1600" s="2" t="s">
        <v>4799</v>
      </c>
      <c r="B1600" s="2" t="s">
        <v>4800</v>
      </c>
      <c r="C1600" s="3" t="s">
        <v>4801</v>
      </c>
      <c r="D1600" s="3" t="str">
        <f ca="1">IFERROR(__xludf.DUMMYFUNCTION("GOOGLETRANSLATE(A1600,""fr"",""en"")"),"lockout")</f>
        <v>lockout</v>
      </c>
      <c r="E1600" s="3" t="str">
        <f ca="1">IFERROR(__xludf.DUMMYFUNCTION("GOOGLETRANSLATE(B1600,""fr"",""en"")"),"The union decides to lock out the striking employees.")</f>
        <v>The union decides to lock out the striking employees.</v>
      </c>
    </row>
    <row r="1601" spans="1:5" x14ac:dyDescent="0.25">
      <c r="A1601" s="2" t="s">
        <v>4802</v>
      </c>
      <c r="B1601" s="2" t="s">
        <v>4803</v>
      </c>
      <c r="C1601" s="3" t="s">
        <v>4804</v>
      </c>
      <c r="D1601" s="3" t="str">
        <f ca="1">IFERROR(__xludf.DUMMYFUNCTION("GOOGLETRANSLATE(A1601,""fr"",""en"")"),"map")</f>
        <v>map</v>
      </c>
      <c r="E1601" s="3" t="str">
        <f ca="1">IFERROR(__xludf.DUMMYFUNCTION("GOOGLETRANSLATE(B1601,""fr"",""en"")"),"Explorers mapped all the islands of the archipelago.")</f>
        <v>Explorers mapped all the islands of the archipelago.</v>
      </c>
    </row>
    <row r="1602" spans="1:5" x14ac:dyDescent="0.25">
      <c r="A1602" s="2" t="s">
        <v>4805</v>
      </c>
      <c r="B1602" s="2" t="s">
        <v>4806</v>
      </c>
      <c r="C1602" s="3" t="s">
        <v>4807</v>
      </c>
      <c r="D1602" s="3" t="str">
        <f ca="1">IFERROR(__xludf.DUMMYFUNCTION("GOOGLETRANSLATE(A1602,""fr"",""en"")"),"list")</f>
        <v>list</v>
      </c>
      <c r="E1602" s="3" t="str">
        <f ca="1">IFERROR(__xludf.DUMMYFUNCTION("GOOGLETRANSLATE(B1602,""fr"",""en"")"),"Before leaving on vacation, she made a list of all the items she needed to take.")</f>
        <v>Before leaving on vacation, she made a list of all the items she needed to take.</v>
      </c>
    </row>
    <row r="1603" spans="1:5" x14ac:dyDescent="0.25">
      <c r="A1603" s="2" t="s">
        <v>4808</v>
      </c>
      <c r="B1603" s="2" t="s">
        <v>4809</v>
      </c>
      <c r="C1603" s="3" t="s">
        <v>4810</v>
      </c>
      <c r="D1603" s="3" t="str">
        <f ca="1">IFERROR(__xludf.DUMMYFUNCTION("GOOGLETRANSLATE(A1603,""fr"",""en"")"),"to amass")</f>
        <v>to amass</v>
      </c>
      <c r="E1603" s="3" t="str">
        <f ca="1">IFERROR(__xludf.DUMMYFUNCTION("GOOGLETRANSLATE(B1603,""fr"",""en"")"),"He amassed a small fortune through his investments.")</f>
        <v>He amassed a small fortune through his investments.</v>
      </c>
    </row>
    <row r="1604" spans="1:5" x14ac:dyDescent="0.25">
      <c r="A1604" s="2" t="s">
        <v>4811</v>
      </c>
      <c r="B1604" s="2" t="s">
        <v>4812</v>
      </c>
      <c r="C1604" s="3" t="s">
        <v>4813</v>
      </c>
      <c r="D1604" s="3" t="str">
        <f ca="1">IFERROR(__xludf.DUMMYFUNCTION("GOOGLETRANSLATE(A1604,""fr"",""en"")"),"to linger")</f>
        <v>to linger</v>
      </c>
      <c r="E1604" s="3" t="str">
        <f ca="1">IFERROR(__xludf.DUMMYFUNCTION("GOOGLETRANSLATE(B1604,""fr"",""en"")"),"Don't get too hung up on the details, we have little time.")</f>
        <v>Don't get too hung up on the details, we have little time.</v>
      </c>
    </row>
    <row r="1605" spans="1:5" x14ac:dyDescent="0.25">
      <c r="A1605" s="2" t="s">
        <v>4814</v>
      </c>
      <c r="B1605" s="2" t="s">
        <v>4815</v>
      </c>
      <c r="C1605" s="3" t="s">
        <v>4816</v>
      </c>
      <c r="D1605" s="3" t="str">
        <f ca="1">IFERROR(__xludf.DUMMYFUNCTION("GOOGLETRANSLATE(A1605,""fr"",""en"")"),"label")</f>
        <v>label</v>
      </c>
      <c r="E1605" s="3" t="str">
        <f ca="1">IFERROR(__xludf.DUMMYFUNCTION("GOOGLETRANSLATE(B1605,""fr"",""en"")"),"Remember to label all boxes before storing them.")</f>
        <v>Remember to label all boxes before storing them.</v>
      </c>
    </row>
    <row r="1606" spans="1:5" x14ac:dyDescent="0.25">
      <c r="A1606" s="2" t="s">
        <v>4817</v>
      </c>
      <c r="B1606" s="2" t="s">
        <v>4818</v>
      </c>
      <c r="C1606" s="3" t="s">
        <v>4819</v>
      </c>
      <c r="D1606" s="3" t="str">
        <f ca="1">IFERROR(__xludf.DUMMYFUNCTION("GOOGLETRANSLATE(A1606,""fr"",""en"")"),"to attach")</f>
        <v>to attach</v>
      </c>
      <c r="E1606" s="3" t="str">
        <f ca="1">IFERROR(__xludf.DUMMYFUNCTION("GOOGLETRANSLATE(B1606,""fr"",""en"")"),"He had to reattach the electrical wires after the storm.")</f>
        <v>He had to reattach the electrical wires after the storm.</v>
      </c>
    </row>
    <row r="1607" spans="1:5" x14ac:dyDescent="0.25">
      <c r="A1607" s="2" t="s">
        <v>4820</v>
      </c>
      <c r="B1607" s="2" t="s">
        <v>4821</v>
      </c>
      <c r="C1607" s="3" t="s">
        <v>4822</v>
      </c>
      <c r="D1607" s="3" t="str">
        <f ca="1">IFERROR(__xludf.DUMMYFUNCTION("GOOGLETRANSLATE(A1607,""fr"",""en"")"),"to peck")</f>
        <v>to peck</v>
      </c>
      <c r="E1607" s="3" t="str">
        <f ca="1">IFERROR(__xludf.DUMMYFUNCTION("GOOGLETRANSLATE(B1607,""fr"",""en"")"),"The chicks were cackling loudly to demand their food.")</f>
        <v>The chicks were cackling loudly to demand their food.</v>
      </c>
    </row>
    <row r="1608" spans="1:5" x14ac:dyDescent="0.25">
      <c r="A1608" s="2" t="s">
        <v>4823</v>
      </c>
      <c r="B1608" s="2" t="s">
        <v>4824</v>
      </c>
      <c r="C1608" s="3" t="s">
        <v>4825</v>
      </c>
      <c r="D1608" s="3" t="str">
        <f ca="1">IFERROR(__xludf.DUMMYFUNCTION("GOOGLETRANSLATE(A1608,""fr"",""en"")"),"surpass")</f>
        <v>surpass</v>
      </c>
      <c r="E1608" s="3" t="str">
        <f ca="1">IFERROR(__xludf.DUMMYFUNCTION("GOOGLETRANSLATE(B1608,""fr"",""en"")"),"She exceeded all expectations during her presentation.")</f>
        <v>She exceeded all expectations during her presentation.</v>
      </c>
    </row>
    <row r="1609" spans="1:5" x14ac:dyDescent="0.25">
      <c r="A1609" s="2" t="s">
        <v>4826</v>
      </c>
      <c r="B1609" s="2" t="s">
        <v>4827</v>
      </c>
      <c r="C1609" s="3" t="s">
        <v>4828</v>
      </c>
      <c r="D1609" s="3" t="str">
        <f ca="1">IFERROR(__xludf.DUMMYFUNCTION("GOOGLETRANSLATE(A1609,""fr"",""en"")"),"to thwart")</f>
        <v>to thwart</v>
      </c>
      <c r="E1609" s="3" t="str">
        <f ca="1">IFERROR(__xludf.DUMMYFUNCTION("GOOGLETRANSLATE(B1609,""fr"",""en"")"),"The police managed to thwart the criminals' plan.")</f>
        <v>The police managed to thwart the criminals' plan.</v>
      </c>
    </row>
    <row r="1610" spans="1:5" x14ac:dyDescent="0.25">
      <c r="A1610" s="2" t="s">
        <v>4829</v>
      </c>
      <c r="B1610" s="2" t="s">
        <v>4830</v>
      </c>
      <c r="C1610" s="3" t="s">
        <v>4831</v>
      </c>
      <c r="D1610" s="3" t="str">
        <f ca="1">IFERROR(__xludf.DUMMYFUNCTION("GOOGLETRANSLATE(A1610,""fr"",""en"")"),"to dirty")</f>
        <v>to dirty</v>
      </c>
      <c r="E1610" s="3" t="str">
        <f ca="1">IFERROR(__xludf.DUMMYFUNCTION("GOOGLETRANSLATE(B1610,""fr"",""en"")"),"Be careful not to get your clothes dirty while playing outside.")</f>
        <v>Be careful not to get your clothes dirty while playing outside.</v>
      </c>
    </row>
    <row r="1611" spans="1:5" x14ac:dyDescent="0.25">
      <c r="A1611" s="2" t="s">
        <v>4832</v>
      </c>
      <c r="B1611" s="2" t="s">
        <v>4833</v>
      </c>
      <c r="C1611" s="3" t="s">
        <v>4834</v>
      </c>
      <c r="D1611" s="3" t="str">
        <f ca="1">IFERROR(__xludf.DUMMYFUNCTION("GOOGLETRANSLATE(A1611,""fr"",""en"")"),"mate")</f>
        <v>mate</v>
      </c>
      <c r="E1611" s="3" t="str">
        <f ca="1">IFERROR(__xludf.DUMMYFUNCTION("GOOGLETRANSLATE(B1611,""fr"",""en"")"),"The breeders have mated the horses for the season.")</f>
        <v>The breeders have mated the horses for the season.</v>
      </c>
    </row>
    <row r="1612" spans="1:5" x14ac:dyDescent="0.25">
      <c r="A1612" s="2" t="s">
        <v>4835</v>
      </c>
      <c r="B1612" s="2" t="s">
        <v>4836</v>
      </c>
      <c r="C1612" s="3" t="s">
        <v>4837</v>
      </c>
      <c r="D1612" s="3" t="str">
        <f ca="1">IFERROR(__xludf.DUMMYFUNCTION("GOOGLETRANSLATE(A1612,""fr"",""en"")"),"to throw away")</f>
        <v>to throw away</v>
      </c>
      <c r="E1612" s="3" t="str">
        <f ca="1">IFERROR(__xludf.DUMMYFUNCTION("GOOGLETRANSLATE(B1612,""fr"",""en"")"),"Before planting flowers, the soil must be loosened.")</f>
        <v>Before planting flowers, the soil must be loosened.</v>
      </c>
    </row>
    <row r="1613" spans="1:5" x14ac:dyDescent="0.25">
      <c r="A1613" s="2" t="s">
        <v>4838</v>
      </c>
      <c r="B1613" s="2" t="s">
        <v>4839</v>
      </c>
      <c r="C1613" s="3" t="s">
        <v>4840</v>
      </c>
      <c r="D1613" s="3" t="str">
        <f ca="1">IFERROR(__xludf.DUMMYFUNCTION("GOOGLETRANSLATE(A1613,""fr"",""en"")"),"omit")</f>
        <v>omit</v>
      </c>
      <c r="E1613" s="3" t="str">
        <f ca="1">IFERROR(__xludf.DUMMYFUNCTION("GOOGLETRANSLATE(B1613,""fr"",""en"")"),"Important details should never be omitted from a report.")</f>
        <v>Important details should never be omitted from a report.</v>
      </c>
    </row>
    <row r="1614" spans="1:5" x14ac:dyDescent="0.25">
      <c r="A1614" s="2" t="s">
        <v>4841</v>
      </c>
      <c r="B1614" s="2" t="s">
        <v>4842</v>
      </c>
      <c r="C1614" s="3" t="s">
        <v>4843</v>
      </c>
      <c r="D1614" s="3" t="str">
        <f ca="1">IFERROR(__xludf.DUMMYFUNCTION("GOOGLETRANSLATE(A1614,""fr"",""en"")"),"base")</f>
        <v>base</v>
      </c>
      <c r="E1614" s="3" t="str">
        <f ca="1">IFERROR(__xludf.DUMMYFUNCTION("GOOGLETRANSLATE(B1614,""fr"",""en"")"),"This novel is based on a true story.")</f>
        <v>This novel is based on a true story.</v>
      </c>
    </row>
    <row r="1615" spans="1:5" x14ac:dyDescent="0.25">
      <c r="A1615" s="2" t="s">
        <v>4844</v>
      </c>
      <c r="B1615" s="2" t="s">
        <v>4845</v>
      </c>
      <c r="C1615" s="3" t="s">
        <v>4846</v>
      </c>
      <c r="D1615" s="3" t="str">
        <f ca="1">IFERROR(__xludf.DUMMYFUNCTION("GOOGLETRANSLATE(A1615,""fr"",""en"")"),"enchant")</f>
        <v>enchant</v>
      </c>
      <c r="E1615" s="3" t="str">
        <f ca="1">IFERROR(__xludf.DUMMYFUNCTION("GOOGLETRANSLATE(B1615,""fr"",""en"")"),"Her enchanting voice captivated the audience.")</f>
        <v>Her enchanting voice captivated the audience.</v>
      </c>
    </row>
    <row r="1616" spans="1:5" x14ac:dyDescent="0.25">
      <c r="A1616" s="2" t="s">
        <v>4847</v>
      </c>
      <c r="B1616" s="2" t="s">
        <v>4848</v>
      </c>
      <c r="C1616" s="3" t="s">
        <v>4849</v>
      </c>
      <c r="D1616" s="3" t="str">
        <f ca="1">IFERROR(__xludf.DUMMYFUNCTION("GOOGLETRANSLATE(A1616,""fr"",""en"")"),"corroborate")</f>
        <v>corroborate</v>
      </c>
      <c r="E1616" s="3" t="str">
        <f ca="1">IFERROR(__xludf.DUMMYFUNCTION("GOOGLETRANSLATE(B1616,""fr"",""en"")"),"The evidence corroborated his alibi.")</f>
        <v>The evidence corroborated his alibi.</v>
      </c>
    </row>
    <row r="1617" spans="1:5" x14ac:dyDescent="0.25">
      <c r="A1617" s="2" t="s">
        <v>4850</v>
      </c>
      <c r="B1617" s="2" t="s">
        <v>4851</v>
      </c>
      <c r="C1617" s="3" t="s">
        <v>4852</v>
      </c>
      <c r="D1617" s="3" t="str">
        <f ca="1">IFERROR(__xludf.DUMMYFUNCTION("GOOGLETRANSLATE(A1617,""fr"",""en"")"),"drain")</f>
        <v>drain</v>
      </c>
      <c r="E1617" s="3" t="str">
        <f ca="1">IFERROR(__xludf.DUMMYFUNCTION("GOOGLETRANSLATE(B1617,""fr"",""en"")"),"Vegetables should be drained before serving.")</f>
        <v>Vegetables should be drained before serving.</v>
      </c>
    </row>
    <row r="1618" spans="1:5" x14ac:dyDescent="0.25">
      <c r="A1618" s="2" t="s">
        <v>4853</v>
      </c>
      <c r="B1618" s="2" t="s">
        <v>4854</v>
      </c>
      <c r="C1618" s="3" t="s">
        <v>4855</v>
      </c>
      <c r="D1618" s="3" t="str">
        <f ca="1">IFERROR(__xludf.DUMMYFUNCTION("GOOGLETRANSLATE(A1618,""fr"",""en"")"),"to persist")</f>
        <v>to persist</v>
      </c>
      <c r="E1618" s="3" t="str">
        <f ca="1">IFERROR(__xludf.DUMMYFUNCTION("GOOGLETRANSLATE(B1618,""fr"",""en"")"),"Their friendship has endured despite the years.")</f>
        <v>Their friendship has endured despite the years.</v>
      </c>
    </row>
    <row r="1619" spans="1:5" x14ac:dyDescent="0.25">
      <c r="A1619" s="2" t="s">
        <v>4856</v>
      </c>
      <c r="B1619" s="2" t="s">
        <v>4857</v>
      </c>
      <c r="C1619" s="3" t="s">
        <v>4858</v>
      </c>
      <c r="D1619" s="3" t="str">
        <f ca="1">IFERROR(__xludf.DUMMYFUNCTION("GOOGLETRANSLATE(A1619,""fr"",""en"")"),"massacre")</f>
        <v>massacre</v>
      </c>
      <c r="E1619" s="3" t="str">
        <f ca="1">IFERROR(__xludf.DUMMYFUNCTION("GOOGLETRANSLATE(B1619,""fr"",""en"")"),"The soldiers massacred the enemies mercilessly.")</f>
        <v>The soldiers massacred the enemies mercilessly.</v>
      </c>
    </row>
    <row r="1620" spans="1:5" x14ac:dyDescent="0.25">
      <c r="A1620" s="2" t="s">
        <v>4859</v>
      </c>
      <c r="B1620" s="2" t="s">
        <v>4860</v>
      </c>
      <c r="C1620" s="3" t="s">
        <v>4861</v>
      </c>
      <c r="D1620" s="3" t="str">
        <f ca="1">IFERROR(__xludf.DUMMYFUNCTION("GOOGLETRANSLATE(A1620,""fr"",""en"")"),"shift")</f>
        <v>shift</v>
      </c>
      <c r="E1620" s="3" t="str">
        <f ca="1">IFERROR(__xludf.DUMMYFUNCTION("GOOGLETRANSLATE(B1620,""fr"",""en"")"),"We need to postpone the meeting until tomorrow.")</f>
        <v>We need to postpone the meeting until tomorrow.</v>
      </c>
    </row>
    <row r="1621" spans="1:5" x14ac:dyDescent="0.25">
      <c r="A1621" s="2" t="s">
        <v>4862</v>
      </c>
      <c r="B1621" s="2" t="s">
        <v>4863</v>
      </c>
      <c r="C1621" s="3" t="s">
        <v>4864</v>
      </c>
      <c r="D1621" s="3" t="str">
        <f ca="1">IFERROR(__xludf.DUMMYFUNCTION("GOOGLETRANSLATE(A1621,""fr"",""en"")"),"to upset")</f>
        <v>to upset</v>
      </c>
      <c r="E1621" s="3" t="str">
        <f ca="1">IFERROR(__xludf.DUMMYFUNCTION("GOOGLETRANSLATE(B1621,""fr"",""en"")"),"Don't let little things bother you.")</f>
        <v>Don't let little things bother you.</v>
      </c>
    </row>
    <row r="1622" spans="1:5" x14ac:dyDescent="0.25">
      <c r="A1622" s="2" t="s">
        <v>4865</v>
      </c>
      <c r="B1622" s="2" t="s">
        <v>4866</v>
      </c>
      <c r="C1622" s="3" t="s">
        <v>4867</v>
      </c>
      <c r="D1622" s="3" t="str">
        <f ca="1">IFERROR(__xludf.DUMMYFUNCTION("GOOGLETRANSLATE(A1622,""fr"",""en"")"),"imprison")</f>
        <v>imprison</v>
      </c>
      <c r="E1622" s="3" t="str">
        <f ca="1">IFERROR(__xludf.DUMMYFUNCTION("GOOGLETRANSLATE(B1622,""fr"",""en"")"),"The criminal was imprisoned for his crimes.")</f>
        <v>The criminal was imprisoned for his crimes.</v>
      </c>
    </row>
    <row r="1623" spans="1:5" x14ac:dyDescent="0.25">
      <c r="A1623" s="2" t="s">
        <v>4868</v>
      </c>
      <c r="B1623" s="2" t="s">
        <v>4869</v>
      </c>
      <c r="C1623" s="3" t="s">
        <v>4870</v>
      </c>
      <c r="D1623" s="3" t="str">
        <f ca="1">IFERROR(__xludf.DUMMYFUNCTION("GOOGLETRANSLATE(A1623,""fr"",""en"")"),"refocus")</f>
        <v>refocus</v>
      </c>
      <c r="E1623" s="3" t="str">
        <f ca="1">IFERROR(__xludf.DUMMYFUNCTION("GOOGLETRANSLATE(B1623,""fr"",""en"")"),"It is time to refocus our efforts on our goals.")</f>
        <v>It is time to refocus our efforts on our goals.</v>
      </c>
    </row>
    <row r="1624" spans="1:5" x14ac:dyDescent="0.25">
      <c r="A1624" s="2" t="s">
        <v>4871</v>
      </c>
      <c r="B1624" s="2" t="s">
        <v>4872</v>
      </c>
      <c r="C1624" s="3" t="s">
        <v>4873</v>
      </c>
      <c r="D1624" s="3" t="str">
        <f ca="1">IFERROR(__xludf.DUMMYFUNCTION("GOOGLETRANSLATE(A1624,""fr"",""en"")"),"to mock")</f>
        <v>to mock</v>
      </c>
      <c r="E1624" s="3" t="str">
        <f ca="1">IFERROR(__xludf.DUMMYFUNCTION("GOOGLETRANSLATE(B1624,""fr"",""en"")"),"He loves to gently make fun of his friends.")</f>
        <v>He loves to gently make fun of his friends.</v>
      </c>
    </row>
    <row r="1625" spans="1:5" x14ac:dyDescent="0.25">
      <c r="A1625" s="2" t="s">
        <v>4874</v>
      </c>
      <c r="B1625" s="2" t="s">
        <v>4875</v>
      </c>
      <c r="C1625" s="3" t="s">
        <v>4876</v>
      </c>
      <c r="D1625" s="3" t="str">
        <f ca="1">IFERROR(__xludf.DUMMYFUNCTION("GOOGLETRANSLATE(A1625,""fr"",""en"")"),"panic")</f>
        <v>panic</v>
      </c>
      <c r="E1625" s="3" t="str">
        <f ca="1">IFERROR(__xludf.DUMMYFUNCTION("GOOGLETRANSLATE(B1625,""fr"",""en"")"),"Passengers began to panic when they saw the smoke.")</f>
        <v>Passengers began to panic when they saw the smoke.</v>
      </c>
    </row>
    <row r="1626" spans="1:5" x14ac:dyDescent="0.25">
      <c r="A1626" s="2" t="s">
        <v>4877</v>
      </c>
      <c r="B1626" s="2" t="s">
        <v>4878</v>
      </c>
      <c r="C1626" s="3" t="s">
        <v>4879</v>
      </c>
      <c r="D1626" s="3" t="str">
        <f ca="1">IFERROR(__xludf.DUMMYFUNCTION("GOOGLETRANSLATE(A1626,""fr"",""en"")"),"empower")</f>
        <v>empower</v>
      </c>
      <c r="E1626" s="3" t="str">
        <f ca="1">IFERROR(__xludf.DUMMYFUNCTION("GOOGLETRANSLATE(B1626,""fr"",""en"")"),"Children must be made responsible from a young age.")</f>
        <v>Children must be made responsible from a young age.</v>
      </c>
    </row>
    <row r="1627" spans="1:5" x14ac:dyDescent="0.25">
      <c r="A1627" s="2" t="s">
        <v>4880</v>
      </c>
      <c r="B1627" s="2" t="s">
        <v>4881</v>
      </c>
      <c r="C1627" s="3" t="s">
        <v>4882</v>
      </c>
      <c r="D1627" s="3" t="str">
        <f ca="1">IFERROR(__xludf.DUMMYFUNCTION("GOOGLETRANSLATE(A1627,""fr"",""en"")"),"absorb")</f>
        <v>absorb</v>
      </c>
      <c r="E1627" s="3" t="str">
        <f ca="1">IFERROR(__xludf.DUMMYFUNCTION("GOOGLETRANSLATE(B1627,""fr"",""en"")"),"The treatment cleared the infection.")</f>
        <v>The treatment cleared the infection.</v>
      </c>
    </row>
    <row r="1628" spans="1:5" x14ac:dyDescent="0.25">
      <c r="A1628" s="2" t="s">
        <v>4883</v>
      </c>
      <c r="B1628" s="2" t="s">
        <v>4884</v>
      </c>
      <c r="C1628" s="3" t="s">
        <v>4885</v>
      </c>
      <c r="D1628" s="3" t="str">
        <f ca="1">IFERROR(__xludf.DUMMYFUNCTION("GOOGLETRANSLATE(A1628,""fr"",""en"")"),"detail")</f>
        <v>detail</v>
      </c>
      <c r="E1628" s="3" t="str">
        <f ca="1">IFERROR(__xludf.DUMMYFUNCTION("GOOGLETRANSLATE(B1628,""fr"",""en"")"),"She detailed all aspects of the project.")</f>
        <v>She detailed all aspects of the project.</v>
      </c>
    </row>
    <row r="1629" spans="1:5" x14ac:dyDescent="0.25">
      <c r="A1629" s="2" t="s">
        <v>4886</v>
      </c>
      <c r="B1629" s="2" t="s">
        <v>4887</v>
      </c>
      <c r="C1629" s="3" t="s">
        <v>4888</v>
      </c>
      <c r="D1629" s="3" t="str">
        <f ca="1">IFERROR(__xludf.DUMMYFUNCTION("GOOGLETRANSLATE(A1629,""fr"",""en"")"),"devour")</f>
        <v>devour</v>
      </c>
      <c r="E1629" s="3" t="str">
        <f ca="1">IFERROR(__xludf.DUMMYFUNCTION("GOOGLETRANSLATE(B1629,""fr"",""en"")"),"The hungry tiger began to devour its prey.")</f>
        <v>The hungry tiger began to devour its prey.</v>
      </c>
    </row>
    <row r="1630" spans="1:5" x14ac:dyDescent="0.25">
      <c r="A1630" s="2" t="s">
        <v>4889</v>
      </c>
      <c r="B1630" s="2" t="s">
        <v>4890</v>
      </c>
      <c r="C1630" s="3" t="s">
        <v>4891</v>
      </c>
      <c r="D1630" s="3" t="str">
        <f ca="1">IFERROR(__xludf.DUMMYFUNCTION("GOOGLETRANSLATE(A1630,""fr"",""en"")"),"to circumscribe")</f>
        <v>to circumscribe</v>
      </c>
      <c r="E1630" s="3" t="str">
        <f ca="1">IFERROR(__xludf.DUMMYFUNCTION("GOOGLETRANSLATE(B1630,""fr"",""en"")"),"The firefighters managed to contain the fire.")</f>
        <v>The firefighters managed to contain the fire.</v>
      </c>
    </row>
    <row r="1631" spans="1:5" x14ac:dyDescent="0.25">
      <c r="A1631" s="2" t="s">
        <v>4892</v>
      </c>
      <c r="B1631" s="2" t="s">
        <v>4893</v>
      </c>
      <c r="C1631" s="3" t="s">
        <v>4894</v>
      </c>
      <c r="D1631" s="3" t="str">
        <f ca="1">IFERROR(__xludf.DUMMYFUNCTION("GOOGLETRANSLATE(A1631,""fr"",""en"")"),"decentralize")</f>
        <v>decentralize</v>
      </c>
      <c r="E1631" s="3" t="str">
        <f ca="1">IFERROR(__xludf.DUMMYFUNCTION("GOOGLETRANSLATE(B1631,""fr"",""en"")"),"The government wants to decentralize decisions.")</f>
        <v>The government wants to decentralize decisions.</v>
      </c>
    </row>
    <row r="1632" spans="1:5" x14ac:dyDescent="0.25">
      <c r="A1632" s="2" t="s">
        <v>4895</v>
      </c>
      <c r="B1632" s="2" t="s">
        <v>4896</v>
      </c>
      <c r="C1632" s="3" t="s">
        <v>4897</v>
      </c>
      <c r="D1632" s="3" t="str">
        <f ca="1">IFERROR(__xludf.DUMMYFUNCTION("GOOGLETRANSLATE(A1632,""fr"",""en"")"),"screw")</f>
        <v>screw</v>
      </c>
      <c r="E1632" s="3" t="str">
        <f ca="1">IFERROR(__xludf.DUMMYFUNCTION("GOOGLETRANSLATE(B1632,""fr"",""en"")"),"You have to screw the parts together to assemble the furniture.")</f>
        <v>You have to screw the parts together to assemble the furniture.</v>
      </c>
    </row>
    <row r="1633" spans="1:5" x14ac:dyDescent="0.25">
      <c r="A1633" s="2" t="s">
        <v>4898</v>
      </c>
      <c r="B1633" s="2" t="s">
        <v>4899</v>
      </c>
      <c r="C1633" s="3" t="s">
        <v>4900</v>
      </c>
      <c r="D1633" s="3" t="str">
        <f ca="1">IFERROR(__xludf.DUMMYFUNCTION("GOOGLETRANSLATE(A1633,""fr"",""en"")"),"to show through")</f>
        <v>to show through</v>
      </c>
      <c r="E1633" s="3" t="str">
        <f ca="1">IFERROR(__xludf.DUMMYFUNCTION("GOOGLETRANSLATE(B1633,""fr"",""en"")"),"His nervousness showed in his voice.")</f>
        <v>His nervousness showed in his voice.</v>
      </c>
    </row>
    <row r="1634" spans="1:5" x14ac:dyDescent="0.25">
      <c r="A1634" s="2" t="s">
        <v>4901</v>
      </c>
      <c r="B1634" s="2" t="s">
        <v>4902</v>
      </c>
      <c r="C1634" s="3" t="s">
        <v>4903</v>
      </c>
      <c r="D1634" s="3" t="str">
        <f ca="1">IFERROR(__xludf.DUMMYFUNCTION("GOOGLETRANSLATE(A1634,""fr"",""en"")"),"sprinkle")</f>
        <v>sprinkle</v>
      </c>
      <c r="E1634" s="3" t="str">
        <f ca="1">IFERROR(__xludf.DUMMYFUNCTION("GOOGLETRANSLATE(B1634,""fr"",""en"")"),"She sprinkled icing sugar on the cakes.")</f>
        <v>She sprinkled icing sugar on the cakes.</v>
      </c>
    </row>
    <row r="1635" spans="1:5" x14ac:dyDescent="0.25">
      <c r="A1635" s="2" t="s">
        <v>4904</v>
      </c>
      <c r="B1635" s="2" t="s">
        <v>4905</v>
      </c>
      <c r="C1635" s="3" t="s">
        <v>4906</v>
      </c>
      <c r="D1635" s="3" t="str">
        <f ca="1">IFERROR(__xludf.DUMMYFUNCTION("GOOGLETRANSLATE(A1635,""fr"",""en"")"),"remunerate")</f>
        <v>remunerate</v>
      </c>
      <c r="E1635" s="3" t="str">
        <f ca="1">IFERROR(__xludf.DUMMYFUNCTION("GOOGLETRANSLATE(B1635,""fr"",""en"")"),"The company decided to pay its employees better.")</f>
        <v>The company decided to pay its employees better.</v>
      </c>
    </row>
    <row r="1636" spans="1:5" x14ac:dyDescent="0.25">
      <c r="A1636" s="2" t="s">
        <v>4907</v>
      </c>
      <c r="B1636" s="2" t="s">
        <v>4908</v>
      </c>
      <c r="C1636" s="3" t="s">
        <v>4909</v>
      </c>
      <c r="D1636" s="3" t="str">
        <f ca="1">IFERROR(__xludf.DUMMYFUNCTION("GOOGLETRANSLATE(A1636,""fr"",""en"")"),"reinstall")</f>
        <v>reinstall</v>
      </c>
      <c r="E1636" s="3" t="str">
        <f ca="1">IFERROR(__xludf.DUMMYFUNCTION("GOOGLETRANSLATE(B1636,""fr"",""en"")"),"After the renovations, they reinstalled the furniture.")</f>
        <v>After the renovations, they reinstalled the furniture.</v>
      </c>
    </row>
    <row r="1637" spans="1:5" x14ac:dyDescent="0.25">
      <c r="A1637" s="2" t="s">
        <v>4910</v>
      </c>
      <c r="B1637" s="2" t="s">
        <v>4911</v>
      </c>
      <c r="C1637" s="3" t="s">
        <v>4912</v>
      </c>
      <c r="D1637" s="3" t="str">
        <f ca="1">IFERROR(__xludf.DUMMYFUNCTION("GOOGLETRANSLATE(A1637,""fr"",""en"")"),"reintroduce")</f>
        <v>reintroduce</v>
      </c>
      <c r="E1637" s="3" t="str">
        <f ca="1">IFERROR(__xludf.DUMMYFUNCTION("GOOGLETRANSLATE(B1637,""fr"",""en"")"),"The zoo will reintroduce the pandas into their natural habitat.")</f>
        <v>The zoo will reintroduce the pandas into their natural habitat.</v>
      </c>
    </row>
    <row r="1638" spans="1:5" x14ac:dyDescent="0.25">
      <c r="A1638" s="2" t="s">
        <v>4913</v>
      </c>
      <c r="B1638" s="2" t="s">
        <v>4914</v>
      </c>
      <c r="C1638" s="3" t="s">
        <v>4915</v>
      </c>
      <c r="D1638" s="3" t="str">
        <f ca="1">IFERROR(__xludf.DUMMYFUNCTION("GOOGLETRANSLATE(A1638,""fr"",""en"")"),"regularize")</f>
        <v>regularize</v>
      </c>
      <c r="E1638" s="3" t="str">
        <f ca="1">IFERROR(__xludf.DUMMYFUNCTION("GOOGLETRANSLATE(B1638,""fr"",""en"")"),"You must regularize your administrative situation quickly.")</f>
        <v>You must regularize your administrative situation quickly.</v>
      </c>
    </row>
    <row r="1639" spans="1:5" x14ac:dyDescent="0.25">
      <c r="A1639" s="2" t="s">
        <v>4916</v>
      </c>
      <c r="B1639" s="2" t="s">
        <v>4917</v>
      </c>
      <c r="C1639" s="3" t="s">
        <v>4918</v>
      </c>
      <c r="D1639" s="3" t="str">
        <f ca="1">IFERROR(__xludf.DUMMYFUNCTION("GOOGLETRANSLATE(A1639,""fr"",""en"")"),"freeze")</f>
        <v>freeze</v>
      </c>
      <c r="E1639" s="3" t="str">
        <f ca="1">IFERROR(__xludf.DUMMYFUNCTION("GOOGLETRANSLATE(B1639,""fr"",""en"")"),"Don't forget to freeze fresh food.")</f>
        <v>Don't forget to freeze fresh food.</v>
      </c>
    </row>
    <row r="1640" spans="1:5" x14ac:dyDescent="0.25">
      <c r="A1640" s="2" t="s">
        <v>4919</v>
      </c>
      <c r="B1640" s="2" t="s">
        <v>4920</v>
      </c>
      <c r="C1640" s="3" t="s">
        <v>4921</v>
      </c>
      <c r="D1640" s="3" t="str">
        <f ca="1">IFERROR(__xludf.DUMMYFUNCTION("GOOGLETRANSLATE(A1640,""fr"",""en"")"),"bleed")</f>
        <v>bleed</v>
      </c>
      <c r="E1640" s="3" t="str">
        <f ca="1">IFERROR(__xludf.DUMMYFUNCTION("GOOGLETRANSLATE(B1640,""fr"",""en"")"),"He bled profusely after cutting himself.")</f>
        <v>He bled profusely after cutting himself.</v>
      </c>
    </row>
    <row r="1641" spans="1:5" x14ac:dyDescent="0.25">
      <c r="A1641" s="2" t="s">
        <v>4922</v>
      </c>
      <c r="B1641" s="2" t="s">
        <v>4923</v>
      </c>
      <c r="C1641" s="3" t="s">
        <v>4924</v>
      </c>
      <c r="D1641" s="3" t="str">
        <f ca="1">IFERROR(__xludf.DUMMYFUNCTION("GOOGLETRANSLATE(A1641,""fr"",""en"")"),"to damage")</f>
        <v>to damage</v>
      </c>
      <c r="E1641" s="3" t="str">
        <f ca="1">IFERROR(__xludf.DUMMYFUNCTION("GOOGLETRANSLATE(B1641,""fr"",""en"")"),"Be careful not to damage this fragile paint.")</f>
        <v>Be careful not to damage this fragile paint.</v>
      </c>
    </row>
    <row r="1642" spans="1:5" x14ac:dyDescent="0.25">
      <c r="A1642" s="2" t="s">
        <v>4925</v>
      </c>
      <c r="B1642" s="2" t="s">
        <v>4926</v>
      </c>
      <c r="C1642" s="3" t="s">
        <v>4927</v>
      </c>
      <c r="D1642" s="3" t="str">
        <f ca="1">IFERROR(__xludf.DUMMYFUNCTION("GOOGLETRANSLATE(A1642,""fr"",""en"")"),"climb")</f>
        <v>climb</v>
      </c>
      <c r="E1642" s="3" t="str">
        <f ca="1">IFERROR(__xludf.DUMMYFUNCTION("GOOGLETRANSLATE(B1642,""fr"",""en"")"),"They climbed the mountain to reach the summit.")</f>
        <v>They climbed the mountain to reach the summit.</v>
      </c>
    </row>
    <row r="1643" spans="1:5" x14ac:dyDescent="0.25">
      <c r="A1643" s="2" t="s">
        <v>4928</v>
      </c>
      <c r="B1643" s="2" t="s">
        <v>4929</v>
      </c>
      <c r="C1643" s="3" t="s">
        <v>4930</v>
      </c>
      <c r="D1643" s="3" t="str">
        <f ca="1">IFERROR(__xludf.DUMMYFUNCTION("GOOGLETRANSLATE(A1643,""fr"",""en"")"),"rebalance")</f>
        <v>rebalance</v>
      </c>
      <c r="E1643" s="3" t="str">
        <f ca="1">IFERROR(__xludf.DUMMYFUNCTION("GOOGLETRANSLATE(B1643,""fr"",""en"")"),"It is essential to rebalance the diet.")</f>
        <v>It is essential to rebalance the diet.</v>
      </c>
    </row>
    <row r="1644" spans="1:5" x14ac:dyDescent="0.25">
      <c r="A1644" s="2" t="s">
        <v>4931</v>
      </c>
      <c r="B1644" s="2" t="s">
        <v>4932</v>
      </c>
      <c r="C1644" s="3" t="s">
        <v>4933</v>
      </c>
      <c r="D1644" s="3" t="str">
        <f ca="1">IFERROR(__xludf.DUMMYFUNCTION("GOOGLETRANSLATE(A1644,""fr"",""en"")"),"reinvest")</f>
        <v>reinvest</v>
      </c>
      <c r="E1644" s="3" t="str">
        <f ca="1">IFERROR(__xludf.DUMMYFUNCTION("GOOGLETRANSLATE(B1644,""fr"",""en"")"),"They decided to reinvest their profits into the business.")</f>
        <v>They decided to reinvest their profits into the business.</v>
      </c>
    </row>
    <row r="1645" spans="1:5" x14ac:dyDescent="0.25">
      <c r="A1645" s="2" t="s">
        <v>4934</v>
      </c>
      <c r="B1645" s="2" t="s">
        <v>4935</v>
      </c>
      <c r="C1645" s="3" t="s">
        <v>4936</v>
      </c>
      <c r="D1645" s="3" t="str">
        <f ca="1">IFERROR(__xludf.DUMMYFUNCTION("GOOGLETRANSLATE(A1645,""fr"",""en"")"),"go back down")</f>
        <v>go back down</v>
      </c>
      <c r="E1645" s="3" t="str">
        <f ca="1">IFERROR(__xludf.DUMMYFUNCTION("GOOGLETRANSLATE(B1645,""fr"",""en"")"),"After admiring the view, they went back down the mountain.")</f>
        <v>After admiring the view, they went back down the mountain.</v>
      </c>
    </row>
    <row r="1646" spans="1:5" x14ac:dyDescent="0.25">
      <c r="A1646" s="2" t="s">
        <v>4937</v>
      </c>
      <c r="B1646" s="2" t="s">
        <v>4938</v>
      </c>
      <c r="C1646" s="3" t="s">
        <v>4939</v>
      </c>
      <c r="D1646" s="3" t="str">
        <f ca="1">IFERROR(__xludf.DUMMYFUNCTION("GOOGLETRANSLATE(A1646,""fr"",""en"")"),"drop")</f>
        <v>drop</v>
      </c>
      <c r="E1646" s="3" t="str">
        <f ca="1">IFERROR(__xludf.DUMMYFUNCTION("GOOGLETRANSLATE(B1646,""fr"",""en"")"),"The planes dropped the paratroopers over the field.")</f>
        <v>The planes dropped the paratroopers over the field.</v>
      </c>
    </row>
    <row r="1647" spans="1:5" x14ac:dyDescent="0.25">
      <c r="A1647" s="2" t="s">
        <v>4940</v>
      </c>
      <c r="B1647" s="2" t="s">
        <v>4941</v>
      </c>
      <c r="C1647" s="3" t="s">
        <v>4942</v>
      </c>
      <c r="D1647" s="3" t="str">
        <f ca="1">IFERROR(__xludf.DUMMYFUNCTION("GOOGLETRANSLATE(A1647,""fr"",""en"")"),"revive")</f>
        <v>revive</v>
      </c>
      <c r="E1647" s="3" t="str">
        <f ca="1">IFERROR(__xludf.DUMMYFUNCTION("GOOGLETRANSLATE(B1647,""fr"",""en"")"),"She managed to rekindle the flame in their relationship.")</f>
        <v>She managed to rekindle the flame in their relationship.</v>
      </c>
    </row>
    <row r="1648" spans="1:5" x14ac:dyDescent="0.25">
      <c r="A1648" s="2" t="s">
        <v>4943</v>
      </c>
      <c r="B1648" s="2" t="s">
        <v>4944</v>
      </c>
      <c r="C1648" s="3" t="s">
        <v>4945</v>
      </c>
      <c r="D1648" s="3" t="str">
        <f ca="1">IFERROR(__xludf.DUMMYFUNCTION("GOOGLETRANSLATE(A1648,""fr"",""en"")"),"unplug")</f>
        <v>unplug</v>
      </c>
      <c r="E1648" s="3" t="str">
        <f ca="1">IFERROR(__xludf.DUMMYFUNCTION("GOOGLETRANSLATE(B1648,""fr"",""en"")"),"Don't forget to unplug the computer before leaving.")</f>
        <v>Don't forget to unplug the computer before leaving.</v>
      </c>
    </row>
    <row r="1649" spans="1:5" x14ac:dyDescent="0.25">
      <c r="A1649" s="2" t="s">
        <v>4946</v>
      </c>
      <c r="B1649" s="2" t="s">
        <v>4947</v>
      </c>
      <c r="C1649" s="3" t="s">
        <v>4948</v>
      </c>
      <c r="D1649" s="3" t="str">
        <f ca="1">IFERROR(__xludf.DUMMYFUNCTION("GOOGLETRANSLATE(A1649,""fr"",""en"")"),"rename")</f>
        <v>rename</v>
      </c>
      <c r="E1649" s="3" t="str">
        <f ca="1">IFERROR(__xludf.DUMMYFUNCTION("GOOGLETRANSLATE(B1649,""fr"",""en"")"),"The city decided to rename the street in honor of the artist.")</f>
        <v>The city decided to rename the street in honor of the artist.</v>
      </c>
    </row>
    <row r="1650" spans="1:5" x14ac:dyDescent="0.25">
      <c r="A1650" s="2" t="s">
        <v>4949</v>
      </c>
      <c r="B1650" s="2" t="s">
        <v>4950</v>
      </c>
      <c r="C1650" s="3" t="s">
        <v>4951</v>
      </c>
      <c r="D1650" s="3" t="str">
        <f ca="1">IFERROR(__xludf.DUMMYFUNCTION("GOOGLETRANSLATE(A1650,""fr"",""en"")"),"banish")</f>
        <v>banish</v>
      </c>
      <c r="E1650" s="3" t="str">
        <f ca="1">IFERROR(__xludf.DUMMYFUNCTION("GOOGLETRANSLATE(B1650,""fr"",""en"")"),"The country has decided to ban the use of certain pesticides.")</f>
        <v>The country has decided to ban the use of certain pesticides.</v>
      </c>
    </row>
    <row r="1651" spans="1:5" x14ac:dyDescent="0.25">
      <c r="A1651" s="2" t="s">
        <v>4952</v>
      </c>
      <c r="B1651" s="2" t="s">
        <v>4953</v>
      </c>
      <c r="C1651" s="3" t="s">
        <v>4954</v>
      </c>
      <c r="D1651" s="3" t="str">
        <f ca="1">IFERROR(__xludf.DUMMYFUNCTION("GOOGLETRANSLATE(A1651,""fr"",""en"")"),"illuminate")</f>
        <v>illuminate</v>
      </c>
      <c r="E1651" s="3" t="str">
        <f ca="1">IFERROR(__xludf.DUMMYFUNCTION("GOOGLETRANSLATE(B1651,""fr"",""en"")"),"Fireworks lit up the night sky.")</f>
        <v>Fireworks lit up the night sky.</v>
      </c>
    </row>
    <row r="1652" spans="1:5" x14ac:dyDescent="0.25">
      <c r="A1652" s="2" t="s">
        <v>4955</v>
      </c>
      <c r="B1652" s="2" t="s">
        <v>4956</v>
      </c>
      <c r="C1652" s="3" t="s">
        <v>4957</v>
      </c>
      <c r="D1652" s="3" t="str">
        <f ca="1">IFERROR(__xludf.DUMMYFUNCTION("GOOGLETRANSLATE(A1652,""fr"",""en"")"),"perpetuate")</f>
        <v>perpetuate</v>
      </c>
      <c r="E1652" s="3" t="str">
        <f ca="1">IFERROR(__xludf.DUMMYFUNCTION("GOOGLETRANSLATE(B1652,""fr"",""en"")"),"They worked hard to make their business sustainable.")</f>
        <v>They worked hard to make their business sustainable.</v>
      </c>
    </row>
    <row r="1653" spans="1:5" x14ac:dyDescent="0.25">
      <c r="A1653" s="2" t="s">
        <v>4958</v>
      </c>
      <c r="B1653" s="2" t="s">
        <v>4959</v>
      </c>
      <c r="C1653" s="3" t="s">
        <v>4960</v>
      </c>
      <c r="D1653" s="3" t="str">
        <f ca="1">IFERROR(__xludf.DUMMYFUNCTION("GOOGLETRANSLATE(A1653,""fr"",""en"")"),"strengthen")</f>
        <v>strengthen</v>
      </c>
      <c r="E1653" s="3" t="str">
        <f ca="1">IFERROR(__xludf.DUMMYFUNCTION("GOOGLETRANSLATE(B1653,""fr"",""en"")"),"He toned his muscles after months of training.")</f>
        <v>He toned his muscles after months of training.</v>
      </c>
    </row>
    <row r="1654" spans="1:5" x14ac:dyDescent="0.25">
      <c r="A1654" s="2" t="s">
        <v>4961</v>
      </c>
      <c r="B1654" s="2" t="s">
        <v>4962</v>
      </c>
      <c r="C1654" s="3" t="s">
        <v>4963</v>
      </c>
      <c r="D1654" s="3" t="str">
        <f ca="1">IFERROR(__xludf.DUMMYFUNCTION("GOOGLETRANSLATE(A1654,""fr"",""en"")"),"decrypt")</f>
        <v>decrypt</v>
      </c>
      <c r="E1654" s="3" t="str">
        <f ca="1">IFERROR(__xludf.DUMMYFUNCTION("GOOGLETRANSLATE(B1654,""fr"",""en"")"),"The agent managed to decrypt the secret code.")</f>
        <v>The agent managed to decrypt the secret code.</v>
      </c>
    </row>
    <row r="1655" spans="1:5" x14ac:dyDescent="0.25">
      <c r="A1655" s="2" t="s">
        <v>4964</v>
      </c>
      <c r="B1655" s="2" t="s">
        <v>4965</v>
      </c>
      <c r="C1655" s="3" t="s">
        <v>4966</v>
      </c>
      <c r="D1655" s="3" t="str">
        <f ca="1">IFERROR(__xludf.DUMMYFUNCTION("GOOGLETRANSLATE(A1655,""fr"",""en"")"),"bounce")</f>
        <v>bounce</v>
      </c>
      <c r="E1655" s="3" t="str">
        <f ca="1">IFERROR(__xludf.DUMMYFUNCTION("GOOGLETRANSLATE(B1655,""fr"",""en"")"),"After the failure, she was able to bounce back and find a new opportunity.")</f>
        <v>After the failure, she was able to bounce back and find a new opportunity.</v>
      </c>
    </row>
    <row r="1656" spans="1:5" x14ac:dyDescent="0.25">
      <c r="A1656" s="2" t="s">
        <v>4967</v>
      </c>
      <c r="B1656" s="2" t="s">
        <v>4968</v>
      </c>
      <c r="C1656" s="3" t="s">
        <v>4969</v>
      </c>
      <c r="D1656" s="3" t="str">
        <f ca="1">IFERROR(__xludf.DUMMYFUNCTION("GOOGLETRANSLATE(A1656,""fr"",""en"")"),"to laugh")</f>
        <v>to laugh</v>
      </c>
      <c r="E1656" s="3" t="str">
        <f ca="1">IFERROR(__xludf.DUMMYFUNCTION("GOOGLETRANSLATE(B1656,""fr"",""en"")"),"They laughed together at a hilarious joke.")</f>
        <v>They laughed together at a hilarious joke.</v>
      </c>
    </row>
    <row r="1657" spans="1:5" x14ac:dyDescent="0.25">
      <c r="A1657" s="2" t="s">
        <v>4970</v>
      </c>
      <c r="B1657" s="2" t="s">
        <v>4971</v>
      </c>
      <c r="C1657" s="3" t="s">
        <v>4972</v>
      </c>
      <c r="D1657" s="3" t="str">
        <f ca="1">IFERROR(__xludf.DUMMYFUNCTION("GOOGLETRANSLATE(A1657,""fr"",""en"")"),"tax")</f>
        <v>tax</v>
      </c>
      <c r="E1657" s="3" t="str">
        <f ca="1">IFERROR(__xludf.DUMMYFUNCTION("GOOGLETRANSLATE(B1657,""fr"",""en"")"),"The government is considering imposing higher taxes on luxury goods.")</f>
        <v>The government is considering imposing higher taxes on luxury goods.</v>
      </c>
    </row>
    <row r="1658" spans="1:5" x14ac:dyDescent="0.25">
      <c r="A1658" s="2" t="s">
        <v>4973</v>
      </c>
      <c r="B1658" s="2" t="s">
        <v>4974</v>
      </c>
      <c r="C1658" s="3" t="s">
        <v>4975</v>
      </c>
      <c r="D1658" s="3" t="str">
        <f ca="1">IFERROR(__xludf.DUMMYFUNCTION("GOOGLETRANSLATE(A1658,""fr"",""en"")"),"formalize")</f>
        <v>formalize</v>
      </c>
      <c r="E1658" s="3" t="str">
        <f ca="1">IFERROR(__xludf.DUMMYFUNCTION("GOOGLETRANSLATE(B1658,""fr"",""en"")"),"The president will formalize his decision at the conference.")</f>
        <v>The president will formalize his decision at the conference.</v>
      </c>
    </row>
    <row r="1659" spans="1:5" x14ac:dyDescent="0.25">
      <c r="A1659" s="2" t="s">
        <v>4976</v>
      </c>
      <c r="B1659" s="2" t="s">
        <v>4977</v>
      </c>
      <c r="C1659" s="3" t="s">
        <v>4978</v>
      </c>
      <c r="D1659" s="3" t="str">
        <f ca="1">IFERROR(__xludf.DUMMYFUNCTION("GOOGLETRANSLATE(A1659,""fr"",""en"")"),"beer")</f>
        <v>beer</v>
      </c>
      <c r="E1659" s="3" t="str">
        <f ca="1">IFERROR(__xludf.DUMMYFUNCTION("GOOGLETRANSLATE(B1659,""fr"",""en"")"),"He gaped in awe at the work of art.")</f>
        <v>He gaped in awe at the work of art.</v>
      </c>
    </row>
    <row r="1660" spans="1:5" x14ac:dyDescent="0.25">
      <c r="A1660" s="2" t="s">
        <v>4979</v>
      </c>
      <c r="B1660" s="2" t="s">
        <v>4980</v>
      </c>
      <c r="C1660" s="3" t="s">
        <v>4981</v>
      </c>
      <c r="D1660" s="3" t="str">
        <f ca="1">IFERROR(__xludf.DUMMYFUNCTION("GOOGLETRANSLATE(A1660,""fr"",""en"")"),"empower")</f>
        <v>empower</v>
      </c>
      <c r="E1660" s="3" t="str">
        <f ca="1">IFERROR(__xludf.DUMMYFUNCTION("GOOGLETRANSLATE(B1660,""fr"",""en"")"),"This certificate allows him to teach in public schools.")</f>
        <v>This certificate allows him to teach in public schools.</v>
      </c>
    </row>
    <row r="1661" spans="1:5" x14ac:dyDescent="0.25">
      <c r="A1661" s="2" t="s">
        <v>4982</v>
      </c>
      <c r="B1661" s="2" t="s">
        <v>4983</v>
      </c>
      <c r="C1661" s="3" t="s">
        <v>4984</v>
      </c>
      <c r="D1661" s="3" t="str">
        <f ca="1">IFERROR(__xludf.DUMMYFUNCTION("GOOGLETRANSLATE(A1661,""fr"",""en"")"),"consist")</f>
        <v>consist</v>
      </c>
      <c r="E1661" s="3" t="str">
        <f ca="1">IFERROR(__xludf.DUMMYFUNCTION("GOOGLETRANSLATE(B1661,""fr"",""en"")"),"Success is about persevering despite obstacles.")</f>
        <v>Success is about persevering despite obstacles.</v>
      </c>
    </row>
    <row r="1662" spans="1:5" x14ac:dyDescent="0.25">
      <c r="A1662" s="2" t="s">
        <v>4985</v>
      </c>
      <c r="B1662" s="2" t="s">
        <v>4986</v>
      </c>
      <c r="C1662" s="3" t="s">
        <v>4987</v>
      </c>
      <c r="D1662" s="3" t="str">
        <f ca="1">IFERROR(__xludf.DUMMYFUNCTION("GOOGLETRANSLATE(A1662,""fr"",""en"")"),"compensate")</f>
        <v>compensate</v>
      </c>
      <c r="E1662" s="3" t="str">
        <f ca="1">IFERROR(__xludf.DUMMYFUNCTION("GOOGLETRANSLATE(B1662,""fr"",""en"")"),"The insurance will compensate them for the damage caused.")</f>
        <v>The insurance will compensate them for the damage caused.</v>
      </c>
    </row>
    <row r="1663" spans="1:5" x14ac:dyDescent="0.25">
      <c r="A1663" s="2" t="s">
        <v>4988</v>
      </c>
      <c r="B1663" s="2" t="s">
        <v>4989</v>
      </c>
      <c r="C1663" s="3" t="s">
        <v>4990</v>
      </c>
      <c r="D1663" s="3" t="str">
        <f ca="1">IFERROR(__xludf.DUMMYFUNCTION("GOOGLETRANSLATE(A1663,""fr"",""en"")"),"talk again")</f>
        <v>talk again</v>
      </c>
      <c r="E1663" s="3" t="str">
        <f ca="1">IFERROR(__xludf.DUMMYFUNCTION("GOOGLETRANSLATE(B1663,""fr"",""en"")"),"We must not talk about the past to avoid conflicts.")</f>
        <v>We must not talk about the past to avoid conflicts.</v>
      </c>
    </row>
    <row r="1664" spans="1:5" x14ac:dyDescent="0.25">
      <c r="A1664" s="2" t="s">
        <v>4991</v>
      </c>
      <c r="B1664" s="2" t="s">
        <v>4992</v>
      </c>
      <c r="C1664" s="3" t="s">
        <v>4993</v>
      </c>
      <c r="D1664" s="3" t="str">
        <f ca="1">IFERROR(__xludf.DUMMYFUNCTION("GOOGLETRANSLATE(A1664,""fr"",""en"")"),"rewrite")</f>
        <v>rewrite</v>
      </c>
      <c r="E1664" s="3" t="str">
        <f ca="1">IFERROR(__xludf.DUMMYFUNCTION("GOOGLETRANSLATE(B1664,""fr"",""en"")"),"The writer decided to rewrite the ending of his novel.")</f>
        <v>The writer decided to rewrite the ending of his novel.</v>
      </c>
    </row>
    <row r="1665" spans="1:5" x14ac:dyDescent="0.25">
      <c r="A1665" s="2" t="s">
        <v>4994</v>
      </c>
      <c r="B1665" s="2" t="s">
        <v>4995</v>
      </c>
      <c r="C1665" s="3" t="s">
        <v>4996</v>
      </c>
      <c r="D1665" s="3" t="str">
        <f ca="1">IFERROR(__xludf.DUMMYFUNCTION("GOOGLETRANSLATE(A1665,""fr"",""en"")"),"menstruate")</f>
        <v>menstruate</v>
      </c>
      <c r="E1665" s="3" t="str">
        <f ca="1">IFERROR(__xludf.DUMMYFUNCTION("GOOGLETRANSLATE(B1665,""fr"",""en"")"),"Every month she menstruates for a few days.")</f>
        <v>Every month she menstruates for a few days.</v>
      </c>
    </row>
    <row r="1666" spans="1:5" x14ac:dyDescent="0.25">
      <c r="A1666" s="2" t="s">
        <v>4997</v>
      </c>
      <c r="B1666" s="2" t="s">
        <v>4998</v>
      </c>
      <c r="C1666" s="3" t="s">
        <v>4999</v>
      </c>
      <c r="D1666" s="3" t="str">
        <f ca="1">IFERROR(__xludf.DUMMYFUNCTION("GOOGLETRANSLATE(A1666,""fr"",""en"")"),"soften")</f>
        <v>soften</v>
      </c>
      <c r="E1666" s="3" t="str">
        <f ca="1">IFERROR(__xludf.DUMMYFUNCTION("GOOGLETRANSLATE(B1666,""fr"",""en"")"),"Honey is used to sweeten the tea.")</f>
        <v>Honey is used to sweeten the tea.</v>
      </c>
    </row>
    <row r="1667" spans="1:5" x14ac:dyDescent="0.25">
      <c r="A1667" s="2" t="s">
        <v>5000</v>
      </c>
      <c r="B1667" s="2" t="s">
        <v>5001</v>
      </c>
      <c r="C1667" s="3" t="s">
        <v>5002</v>
      </c>
      <c r="D1667" s="3" t="str">
        <f ca="1">IFERROR(__xludf.DUMMYFUNCTION("GOOGLETRANSLATE(A1667,""fr"",""en"")"),"shower")</f>
        <v>shower</v>
      </c>
      <c r="E1667" s="3" t="str">
        <f ca="1">IFERROR(__xludf.DUMMYFUNCTION("GOOGLETRANSLATE(B1667,""fr"",""en"")"),"She showered after an intense workout.")</f>
        <v>She showered after an intense workout.</v>
      </c>
    </row>
    <row r="1668" spans="1:5" x14ac:dyDescent="0.25">
      <c r="A1668" s="2" t="s">
        <v>5003</v>
      </c>
      <c r="B1668" s="2" t="s">
        <v>5004</v>
      </c>
      <c r="C1668" s="3" t="s">
        <v>5005</v>
      </c>
      <c r="D1668" s="3" t="str">
        <f ca="1">IFERROR(__xludf.DUMMYFUNCTION("GOOGLETRANSLATE(A1668,""fr"",""en"")"),"infect")</f>
        <v>infect</v>
      </c>
      <c r="E1668" s="3" t="str">
        <f ca="1">IFERROR(__xludf.DUMMYFUNCTION("GOOGLETRANSLATE(B1668,""fr"",""en"")"),"Viruses can infect a computer system.")</f>
        <v>Viruses can infect a computer system.</v>
      </c>
    </row>
    <row r="1669" spans="1:5" x14ac:dyDescent="0.25">
      <c r="A1669" s="2" t="s">
        <v>5006</v>
      </c>
      <c r="B1669" s="2" t="s">
        <v>5007</v>
      </c>
      <c r="C1669" s="3" t="s">
        <v>5008</v>
      </c>
      <c r="D1669" s="3" t="str">
        <f ca="1">IFERROR(__xludf.DUMMYFUNCTION("GOOGLETRANSLATE(A1669,""fr"",""en"")"),"flow")</f>
        <v>flow</v>
      </c>
      <c r="E1669" s="3" t="str">
        <f ca="1">IFERROR(__xludf.DUMMYFUNCTION("GOOGLETRANSLATE(B1669,""fr"",""en"")"),"We must sell off our stocks before the end of the month.")</f>
        <v>We must sell off our stocks before the end of the month.</v>
      </c>
    </row>
    <row r="1670" spans="1:5" x14ac:dyDescent="0.25">
      <c r="A1670" s="2" t="s">
        <v>5009</v>
      </c>
      <c r="B1670" s="2" t="s">
        <v>5010</v>
      </c>
      <c r="C1670" s="3" t="s">
        <v>5011</v>
      </c>
      <c r="D1670" s="3" t="str">
        <f ca="1">IFERROR(__xludf.DUMMYFUNCTION("GOOGLETRANSLATE(A1670,""fr"",""en"")"),"to dream")</f>
        <v>to dream</v>
      </c>
      <c r="E1670" s="3" t="str">
        <f ca="1">IFERROR(__xludf.DUMMYFUNCTION("GOOGLETRANSLATE(B1670,""fr"",""en"")"),"He plans to travel around the world after retirement.")</f>
        <v>He plans to travel around the world after retirement.</v>
      </c>
    </row>
    <row r="1671" spans="1:5" x14ac:dyDescent="0.25">
      <c r="A1671" s="2" t="s">
        <v>5012</v>
      </c>
      <c r="B1671" s="2" t="s">
        <v>5013</v>
      </c>
      <c r="C1671" s="3" t="s">
        <v>5014</v>
      </c>
      <c r="D1671" s="3" t="str">
        <f ca="1">IFERROR(__xludf.DUMMYFUNCTION("GOOGLETRANSLATE(A1671,""fr"",""en"")"),"paralyze")</f>
        <v>paralyze</v>
      </c>
      <c r="E1671" s="3" t="str">
        <f ca="1">IFERROR(__xludf.DUMMYFUNCTION("GOOGLETRANSLATE(B1671,""fr"",""en"")"),"Fear paralyzed him on the spot.")</f>
        <v>Fear paralyzed him on the spot.</v>
      </c>
    </row>
    <row r="1672" spans="1:5" x14ac:dyDescent="0.25">
      <c r="A1672" s="2" t="s">
        <v>5015</v>
      </c>
      <c r="B1672" s="2" t="s">
        <v>5016</v>
      </c>
      <c r="C1672" s="3" t="s">
        <v>5017</v>
      </c>
      <c r="D1672" s="3" t="str">
        <f ca="1">IFERROR(__xludf.DUMMYFUNCTION("GOOGLETRANSLATE(A1672,""fr"",""en"")"),"corrupt")</f>
        <v>corrupt</v>
      </c>
      <c r="E1672" s="3" t="str">
        <f ca="1">IFERROR(__xludf.DUMMYFUNCTION("GOOGLETRANSLATE(B1672,""fr"",""en"")"),"Temptation can corrupt even the most virtuous.")</f>
        <v>Temptation can corrupt even the most virtuous.</v>
      </c>
    </row>
    <row r="1673" spans="1:5" x14ac:dyDescent="0.25">
      <c r="A1673" s="2" t="s">
        <v>5018</v>
      </c>
      <c r="B1673" s="2" t="s">
        <v>5019</v>
      </c>
      <c r="C1673" s="3" t="s">
        <v>5020</v>
      </c>
      <c r="D1673" s="3" t="str">
        <f ca="1">IFERROR(__xludf.DUMMYFUNCTION("GOOGLETRANSLATE(A1673,""fr"",""en"")"),"to ratify")</f>
        <v>to ratify</v>
      </c>
      <c r="E1673" s="3" t="str">
        <f ca="1">IFERROR(__xludf.DUMMYFUNCTION("GOOGLETRANSLATE(B1673,""fr"",""en"")"),"The board of directors must ratify this decision.")</f>
        <v>The board of directors must ratify this decision.</v>
      </c>
    </row>
    <row r="1674" spans="1:5" x14ac:dyDescent="0.25">
      <c r="A1674" s="2" t="s">
        <v>5021</v>
      </c>
      <c r="B1674" s="2" t="s">
        <v>5022</v>
      </c>
      <c r="C1674" s="3" t="s">
        <v>5023</v>
      </c>
      <c r="D1674" s="3" t="str">
        <f ca="1">IFERROR(__xludf.DUMMYFUNCTION("GOOGLETRANSLATE(A1674,""fr"",""en"")"),"dodge")</f>
        <v>dodge</v>
      </c>
      <c r="E1674" s="3" t="str">
        <f ca="1">IFERROR(__xludf.DUMMYFUNCTION("GOOGLETRANSLATE(B1674,""fr"",""en"")"),"The player managed to dodge all defenders.")</f>
        <v>The player managed to dodge all defenders.</v>
      </c>
    </row>
    <row r="1675" spans="1:5" x14ac:dyDescent="0.25">
      <c r="A1675" s="2" t="s">
        <v>5024</v>
      </c>
      <c r="B1675" s="2" t="s">
        <v>5025</v>
      </c>
      <c r="C1675" s="3" t="s">
        <v>5026</v>
      </c>
      <c r="D1675" s="3" t="str">
        <f ca="1">IFERROR(__xludf.DUMMYFUNCTION("GOOGLETRANSLATE(A1675,""fr"",""en"")"),"smooth")</f>
        <v>smooth</v>
      </c>
      <c r="E1675" s="3" t="str">
        <f ca="1">IFERROR(__xludf.DUMMYFUNCTION("GOOGLETRANSLATE(B1675,""fr"",""en"")"),"She straightens her hair for a sleeker look.")</f>
        <v>She straightens her hair for a sleeker look.</v>
      </c>
    </row>
    <row r="1676" spans="1:5" x14ac:dyDescent="0.25">
      <c r="A1676" s="2" t="s">
        <v>5027</v>
      </c>
      <c r="B1676" s="2" t="s">
        <v>5028</v>
      </c>
      <c r="C1676" s="3" t="s">
        <v>5029</v>
      </c>
      <c r="D1676" s="3" t="str">
        <f ca="1">IFERROR(__xludf.DUMMYFUNCTION("GOOGLETRANSLATE(A1676,""fr"",""en"")"),"renegotiate")</f>
        <v>renegotiate</v>
      </c>
      <c r="E1676" s="3" t="str">
        <f ca="1">IFERROR(__xludf.DUMMYFUNCTION("GOOGLETRANSLATE(B1676,""fr"",""en"")"),"They will renegotiate the terms of the contract to include new clauses.")</f>
        <v>They will renegotiate the terms of the contract to include new clauses.</v>
      </c>
    </row>
    <row r="1677" spans="1:5" x14ac:dyDescent="0.25">
      <c r="A1677" s="2" t="s">
        <v>5030</v>
      </c>
      <c r="B1677" s="2" t="s">
        <v>5031</v>
      </c>
      <c r="C1677" s="3" t="s">
        <v>5032</v>
      </c>
      <c r="D1677" s="3" t="str">
        <f ca="1">IFERROR(__xludf.DUMMYFUNCTION("GOOGLETRANSLATE(A1677,""fr"",""en"")"),"ventilate")</f>
        <v>ventilate</v>
      </c>
      <c r="E1677" s="3" t="str">
        <f ca="1">IFERROR(__xludf.DUMMYFUNCTION("GOOGLETRANSLATE(B1677,""fr"",""en"")"),"The room must be well ventilated to avoid heat.")</f>
        <v>The room must be well ventilated to avoid heat.</v>
      </c>
    </row>
    <row r="1678" spans="1:5" x14ac:dyDescent="0.25">
      <c r="A1678" s="2" t="s">
        <v>5033</v>
      </c>
      <c r="B1678" s="2" t="s">
        <v>5034</v>
      </c>
      <c r="C1678" s="3" t="s">
        <v>5035</v>
      </c>
      <c r="D1678" s="3" t="str">
        <f ca="1">IFERROR(__xludf.DUMMYFUNCTION("GOOGLETRANSLATE(A1678,""fr"",""en"")"),"engage")</f>
        <v>engage</v>
      </c>
      <c r="E1678" s="3" t="str">
        <f ca="1">IFERROR(__xludf.DUMMYFUNCTION("GOOGLETRANSLATE(B1678,""fr"",""en"")"),"To start the car, you have to turn on the key.")</f>
        <v>To start the car, you have to turn on the key.</v>
      </c>
    </row>
    <row r="1679" spans="1:5" x14ac:dyDescent="0.25">
      <c r="A1679" s="2" t="s">
        <v>5036</v>
      </c>
      <c r="B1679" s="2" t="s">
        <v>5037</v>
      </c>
      <c r="C1679" s="3" t="s">
        <v>5038</v>
      </c>
      <c r="D1679" s="3" t="str">
        <f ca="1">IFERROR(__xludf.DUMMYFUNCTION("GOOGLETRANSLATE(A1679,""fr"",""en"")"),"to convey")</f>
        <v>to convey</v>
      </c>
      <c r="E1679" s="3" t="str">
        <f ca="1">IFERROR(__xludf.DUMMYFUNCTION("GOOGLETRANSLATE(B1679,""fr"",""en"")"),"This film conveys a powerful message about equality.")</f>
        <v>This film conveys a powerful message about equality.</v>
      </c>
    </row>
    <row r="1680" spans="1:5" x14ac:dyDescent="0.25">
      <c r="A1680" s="2" t="s">
        <v>5039</v>
      </c>
      <c r="B1680" s="2" t="s">
        <v>5040</v>
      </c>
      <c r="C1680" s="3" t="s">
        <v>5041</v>
      </c>
      <c r="D1680" s="3" t="str">
        <f ca="1">IFERROR(__xludf.DUMMYFUNCTION("GOOGLETRANSLATE(A1680,""fr"",""en"")"),"resurrect")</f>
        <v>resurrect</v>
      </c>
      <c r="E1680" s="3" t="str">
        <f ca="1">IFERROR(__xludf.DUMMYFUNCTION("GOOGLETRANSLATE(B1680,""fr"",""en"")"),"The main character has miraculously been resurrected.")</f>
        <v>The main character has miraculously been resurrected.</v>
      </c>
    </row>
    <row r="1681" spans="1:5" x14ac:dyDescent="0.25">
      <c r="A1681" s="2" t="s">
        <v>5042</v>
      </c>
      <c r="B1681" s="2" t="s">
        <v>5043</v>
      </c>
      <c r="C1681" s="3" t="s">
        <v>5044</v>
      </c>
      <c r="D1681" s="3" t="str">
        <f ca="1">IFERROR(__xludf.DUMMYFUNCTION("GOOGLETRANSLATE(A1681,""fr"",""en"")"),"perish")</f>
        <v>perish</v>
      </c>
      <c r="E1681" s="3" t="str">
        <f ca="1">IFERROR(__xludf.DUMMYFUNCTION("GOOGLETRANSLATE(B1681,""fr"",""en"")"),"All passengers died in the plane crash.")</f>
        <v>All passengers died in the plane crash.</v>
      </c>
    </row>
    <row r="1682" spans="1:5" x14ac:dyDescent="0.25">
      <c r="A1682" s="2" t="s">
        <v>5045</v>
      </c>
      <c r="B1682" s="2" t="s">
        <v>5046</v>
      </c>
      <c r="C1682" s="3" t="s">
        <v>5047</v>
      </c>
      <c r="D1682" s="3" t="str">
        <f ca="1">IFERROR(__xludf.DUMMYFUNCTION("GOOGLETRANSLATE(A1682,""fr"",""en"")"),"stuff")</f>
        <v>stuff</v>
      </c>
      <c r="E1682" s="3" t="str">
        <f ca="1">IFERROR(__xludf.DUMMYFUNCTION("GOOGLETRANSLATE(B1682,""fr"",""en"")"),"She likes to stuff turkeys with chestnut stuffing.")</f>
        <v>She likes to stuff turkeys with chestnut stuffing.</v>
      </c>
    </row>
    <row r="1683" spans="1:5" x14ac:dyDescent="0.25">
      <c r="A1683" s="2" t="s">
        <v>5048</v>
      </c>
      <c r="B1683" s="2" t="s">
        <v>5049</v>
      </c>
      <c r="C1683" s="3" t="s">
        <v>5050</v>
      </c>
      <c r="D1683" s="3" t="str">
        <f ca="1">IFERROR(__xludf.DUMMYFUNCTION("GOOGLETRANSLATE(A1683,""fr"",""en"")"),"drill")</f>
        <v>drill</v>
      </c>
      <c r="E1683" s="3" t="str">
        <f ca="1">IFERROR(__xludf.DUMMYFUNCTION("GOOGLETRANSLATE(B1683,""fr"",""en"")"),"Geologists have to drill to reach the rock.")</f>
        <v>Geologists have to drill to reach the rock.</v>
      </c>
    </row>
    <row r="1684" spans="1:5" x14ac:dyDescent="0.25">
      <c r="A1684" s="2" t="s">
        <v>5051</v>
      </c>
      <c r="B1684" s="2" t="s">
        <v>5052</v>
      </c>
      <c r="C1684" s="3" t="s">
        <v>5053</v>
      </c>
      <c r="D1684" s="3" t="str">
        <f ca="1">IFERROR(__xludf.DUMMYFUNCTION("GOOGLETRANSLATE(A1684,""fr"",""en"")"),"configure")</f>
        <v>configure</v>
      </c>
      <c r="E1684" s="3" t="str">
        <f ca="1">IFERROR(__xludf.DUMMYFUNCTION("GOOGLETRANSLATE(B1684,""fr"",""en"")"),"Before using the application, you must set the preferences.")</f>
        <v>Before using the application, you must set the preferences.</v>
      </c>
    </row>
    <row r="1685" spans="1:5" x14ac:dyDescent="0.25">
      <c r="A1685" s="2" t="s">
        <v>5054</v>
      </c>
      <c r="B1685" s="2" t="s">
        <v>5055</v>
      </c>
      <c r="C1685" s="3" t="s">
        <v>5056</v>
      </c>
      <c r="D1685" s="3" t="str">
        <f ca="1">IFERROR(__xludf.DUMMYFUNCTION("GOOGLETRANSLATE(A1685,""fr"",""en"")"),"recite")</f>
        <v>recite</v>
      </c>
      <c r="E1685" s="3" t="str">
        <f ca="1">IFERROR(__xludf.DUMMYFUNCTION("GOOGLETRANSLATE(B1685,""fr"",""en"")"),"Students must recite a poem in front of the class.")</f>
        <v>Students must recite a poem in front of the class.</v>
      </c>
    </row>
    <row r="1686" spans="1:5" x14ac:dyDescent="0.25">
      <c r="A1686" s="2" t="s">
        <v>5057</v>
      </c>
      <c r="B1686" s="2" t="s">
        <v>5058</v>
      </c>
      <c r="C1686" s="3" t="s">
        <v>5059</v>
      </c>
      <c r="D1686" s="3" t="str">
        <f ca="1">IFERROR(__xludf.DUMMYFUNCTION("GOOGLETRANSLATE(A1686,""fr"",""en"")"),"match")</f>
        <v>match</v>
      </c>
      <c r="E1686" s="3" t="str">
        <f ca="1">IFERROR(__xludf.DUMMYFUNCTION("GOOGLETRANSLATE(B1686,""fr"",""en"")"),"His talent has never been equaled in this field.")</f>
        <v>His talent has never been equaled in this field.</v>
      </c>
    </row>
    <row r="1687" spans="1:5" x14ac:dyDescent="0.25">
      <c r="A1687" s="2" t="s">
        <v>5060</v>
      </c>
      <c r="B1687" s="2" t="s">
        <v>5061</v>
      </c>
      <c r="C1687" s="3" t="s">
        <v>5062</v>
      </c>
      <c r="D1687" s="3" t="str">
        <f ca="1">IFERROR(__xludf.DUMMYFUNCTION("GOOGLETRANSLATE(A1687,""fr"",""en"")"),"embody")</f>
        <v>embody</v>
      </c>
      <c r="E1687" s="3" t="str">
        <f ca="1">IFERROR(__xludf.DUMMYFUNCTION("GOOGLETRANSLATE(B1687,""fr"",""en"")"),"He was able to perfectly embody the role of the hero.")</f>
        <v>He was able to perfectly embody the role of the hero.</v>
      </c>
    </row>
    <row r="1688" spans="1:5" x14ac:dyDescent="0.25">
      <c r="A1688" s="2" t="s">
        <v>5063</v>
      </c>
      <c r="B1688" s="2" t="s">
        <v>5064</v>
      </c>
      <c r="C1688" s="3" t="s">
        <v>5065</v>
      </c>
      <c r="D1688" s="3" t="str">
        <f ca="1">IFERROR(__xludf.DUMMYFUNCTION("GOOGLETRANSLATE(A1688,""fr"",""en"")"),"bathe")</f>
        <v>bathe</v>
      </c>
      <c r="E1688" s="3" t="str">
        <f ca="1">IFERROR(__xludf.DUMMYFUNCTION("GOOGLETRANSLATE(B1688,""fr"",""en"")"),"Children love to swim in the sea in summer.")</f>
        <v>Children love to swim in the sea in summer.</v>
      </c>
    </row>
    <row r="1689" spans="1:5" x14ac:dyDescent="0.25">
      <c r="A1689" s="2" t="s">
        <v>5066</v>
      </c>
      <c r="B1689" s="2" t="s">
        <v>5067</v>
      </c>
      <c r="C1689" s="3" t="s">
        <v>5068</v>
      </c>
      <c r="D1689" s="3" t="str">
        <f ca="1">IFERROR(__xludf.DUMMYFUNCTION("GOOGLETRANSLATE(A1689,""fr"",""en"")"),"stab")</f>
        <v>stab</v>
      </c>
      <c r="E1689" s="3" t="str">
        <f ca="1">IFERROR(__xludf.DUMMYFUNCTION("GOOGLETRANSLATE(B1689,""fr"",""en"")"),"The criminal stabbed him in the back.")</f>
        <v>The criminal stabbed him in the back.</v>
      </c>
    </row>
    <row r="1690" spans="1:5" x14ac:dyDescent="0.25">
      <c r="A1690" s="2" t="s">
        <v>5069</v>
      </c>
      <c r="B1690" s="2" t="s">
        <v>5070</v>
      </c>
      <c r="C1690" s="3" t="s">
        <v>5071</v>
      </c>
      <c r="D1690" s="3" t="str">
        <f ca="1">IFERROR(__xludf.DUMMYFUNCTION("GOOGLETRANSLATE(A1690,""fr"",""en"")"),"massage")</f>
        <v>massage</v>
      </c>
      <c r="E1690" s="3" t="str">
        <f ca="1">IFERROR(__xludf.DUMMYFUNCTION("GOOGLETRANSLATE(B1690,""fr"",""en"")"),"She massages her shoulders to relax them after exercise.")</f>
        <v>She massages her shoulders to relax them after exercise.</v>
      </c>
    </row>
    <row r="1691" spans="1:5" x14ac:dyDescent="0.25">
      <c r="A1691" s="2" t="s">
        <v>5072</v>
      </c>
      <c r="B1691" s="2" t="s">
        <v>5073</v>
      </c>
      <c r="C1691" s="3" t="s">
        <v>5074</v>
      </c>
      <c r="D1691" s="3" t="str">
        <f ca="1">IFERROR(__xludf.DUMMYFUNCTION("GOOGLETRANSLATE(A1691,""fr"",""en"")"),"to close")</f>
        <v>to close</v>
      </c>
      <c r="E1691" s="3" t="str">
        <f ca="1">IFERROR(__xludf.DUMMYFUNCTION("GOOGLETRANSLATE(B1691,""fr"",""en"")"),"The dentist must fill the cavity to prevent infection.")</f>
        <v>The dentist must fill the cavity to prevent infection.</v>
      </c>
    </row>
    <row r="1692" spans="1:5" x14ac:dyDescent="0.25">
      <c r="A1692" s="2" t="s">
        <v>5075</v>
      </c>
      <c r="B1692" s="2" t="s">
        <v>5076</v>
      </c>
      <c r="C1692" s="3" t="s">
        <v>5077</v>
      </c>
      <c r="D1692" s="3" t="str">
        <f ca="1">IFERROR(__xludf.DUMMYFUNCTION("GOOGLETRANSLATE(A1692,""fr"",""en"")"),"camouflage")</f>
        <v>camouflage</v>
      </c>
      <c r="E1692" s="3" t="str">
        <f ca="1">IFERROR(__xludf.DUMMYFUNCTION("GOOGLETRANSLATE(B1692,""fr"",""en"")"),"The soldiers had to camouflage themselves to avoid being spotted.")</f>
        <v>The soldiers had to camouflage themselves to avoid being spotted.</v>
      </c>
    </row>
    <row r="1693" spans="1:5" x14ac:dyDescent="0.25">
      <c r="A1693" s="2" t="s">
        <v>5078</v>
      </c>
      <c r="B1693" s="2" t="s">
        <v>5079</v>
      </c>
      <c r="C1693" s="3" t="s">
        <v>5080</v>
      </c>
      <c r="D1693" s="3" t="str">
        <f ca="1">IFERROR(__xludf.DUMMYFUNCTION("GOOGLETRANSLATE(A1693,""fr"",""en"")"),"to repeat")</f>
        <v>to repeat</v>
      </c>
      <c r="E1693" s="3" t="str">
        <f ca="1">IFERROR(__xludf.DUMMYFUNCTION("GOOGLETRANSLATE(B1693,""fr"",""en"")"),"He had to repeat his school year to get his diploma.")</f>
        <v>He had to repeat his school year to get his diploma.</v>
      </c>
    </row>
    <row r="1694" spans="1:5" x14ac:dyDescent="0.25">
      <c r="A1694" s="2" t="s">
        <v>5081</v>
      </c>
      <c r="B1694" s="2" t="s">
        <v>5082</v>
      </c>
      <c r="C1694" s="3" t="s">
        <v>5083</v>
      </c>
      <c r="D1694" s="3" t="str">
        <f ca="1">IFERROR(__xludf.DUMMYFUNCTION("GOOGLETRANSLATE(A1694,""fr"",""en"")"),"initialize")</f>
        <v>initialize</v>
      </c>
      <c r="E1694" s="3" t="str">
        <f ca="1">IFERROR(__xludf.DUMMYFUNCTION("GOOGLETRANSLATE(B1694,""fr"",""en"")"),"Before using the software, it must be initialized.")</f>
        <v>Before using the software, it must be initialized.</v>
      </c>
    </row>
    <row r="1695" spans="1:5" x14ac:dyDescent="0.25">
      <c r="A1695" s="2" t="s">
        <v>5084</v>
      </c>
      <c r="B1695" s="2" t="s">
        <v>5085</v>
      </c>
      <c r="C1695" s="3" t="s">
        <v>5086</v>
      </c>
      <c r="D1695" s="3" t="str">
        <f ca="1">IFERROR(__xludf.DUMMYFUNCTION("GOOGLETRANSLATE(A1695,""fr"",""en"")"),"defuse")</f>
        <v>defuse</v>
      </c>
      <c r="E1695" s="3" t="str">
        <f ca="1">IFERROR(__xludf.DUMMYFUNCTION("GOOGLETRANSLATE(B1695,""fr"",""en"")"),"The experts managed to defuse the bomb in time.")</f>
        <v>The experts managed to defuse the bomb in time.</v>
      </c>
    </row>
    <row r="1696" spans="1:5" x14ac:dyDescent="0.25">
      <c r="A1696" s="2" t="s">
        <v>5087</v>
      </c>
      <c r="B1696" s="2" t="s">
        <v>5088</v>
      </c>
      <c r="C1696" s="3" t="s">
        <v>5089</v>
      </c>
      <c r="D1696" s="3" t="str">
        <f ca="1">IFERROR(__xludf.DUMMYFUNCTION("GOOGLETRANSLATE(A1696,""fr"",""en"")"),"plunder")</f>
        <v>plunder</v>
      </c>
      <c r="E1696" s="3" t="str">
        <f ca="1">IFERROR(__xludf.DUMMYFUNCTION("GOOGLETRANSLATE(B1696,""fr"",""en"")"),"Looters ransacked the village in search of treasure.")</f>
        <v>Looters ransacked the village in search of treasure.</v>
      </c>
    </row>
    <row r="1697" spans="1:5" x14ac:dyDescent="0.25">
      <c r="A1697" s="2" t="s">
        <v>5090</v>
      </c>
      <c r="B1697" s="2" t="s">
        <v>5091</v>
      </c>
      <c r="C1697" s="3" t="s">
        <v>5092</v>
      </c>
      <c r="D1697" s="3" t="str">
        <f ca="1">IFERROR(__xludf.DUMMYFUNCTION("GOOGLETRANSLATE(A1697,""fr"",""en"")"),"refine")</f>
        <v>refine</v>
      </c>
      <c r="E1697" s="3" t="str">
        <f ca="1">IFERROR(__xludf.DUMMYFUNCTION("GOOGLETRANSLATE(B1697,""fr"",""en"")"),"She polished her speech before the presentation.")</f>
        <v>She polished her speech before the presentation.</v>
      </c>
    </row>
    <row r="1698" spans="1:5" x14ac:dyDescent="0.25">
      <c r="A1698" s="2" t="s">
        <v>5093</v>
      </c>
      <c r="B1698" s="2" t="s">
        <v>5094</v>
      </c>
      <c r="C1698" s="3" t="s">
        <v>5095</v>
      </c>
      <c r="D1698" s="3" t="str">
        <f ca="1">IFERROR(__xludf.DUMMYFUNCTION("GOOGLETRANSLATE(A1698,""fr"",""en"")"),"reconfigure")</f>
        <v>reconfigure</v>
      </c>
      <c r="E1698" s="3" t="str">
        <f ca="1">IFERROR(__xludf.DUMMYFUNCTION("GOOGLETRANSLATE(B1698,""fr"",""en"")"),"They will reconfigure the network to improve security.")</f>
        <v>They will reconfigure the network to improve security.</v>
      </c>
    </row>
    <row r="1699" spans="1:5" x14ac:dyDescent="0.25">
      <c r="A1699" s="2" t="s">
        <v>5096</v>
      </c>
      <c r="B1699" s="2" t="s">
        <v>5097</v>
      </c>
      <c r="C1699" s="3" t="s">
        <v>5098</v>
      </c>
      <c r="D1699" s="3" t="str">
        <f ca="1">IFERROR(__xludf.DUMMYFUNCTION("GOOGLETRANSLATE(A1699,""fr"",""en"")"),"to sort out")</f>
        <v>to sort out</v>
      </c>
      <c r="E1699" s="3" t="str">
        <f ca="1">IFERROR(__xludf.DUMMYFUNCTION("GOOGLETRANSLATE(B1699,""fr"",""en"")"),"You have to make do with the resources available.")</f>
        <v>You have to make do with the resources available.</v>
      </c>
    </row>
    <row r="1700" spans="1:5" x14ac:dyDescent="0.25">
      <c r="A1700" s="2" t="s">
        <v>5099</v>
      </c>
      <c r="B1700" s="2" t="s">
        <v>5100</v>
      </c>
      <c r="C1700" s="3" t="s">
        <v>5101</v>
      </c>
      <c r="D1700" s="3" t="str">
        <f ca="1">IFERROR(__xludf.DUMMYFUNCTION("GOOGLETRANSLATE(A1700,""fr"",""en"")"),"compress")</f>
        <v>compress</v>
      </c>
      <c r="E1700" s="3" t="str">
        <f ca="1">IFERROR(__xludf.DUMMYFUNCTION("GOOGLETRANSLATE(B1700,""fr"",""en"")"),"The file must be compressed before sending it by email.")</f>
        <v>The file must be compressed before sending it by email.</v>
      </c>
    </row>
    <row r="1701" spans="1:5" x14ac:dyDescent="0.25">
      <c r="A1701" s="2" t="s">
        <v>5102</v>
      </c>
      <c r="B1701" s="2" t="s">
        <v>5103</v>
      </c>
      <c r="C1701" s="3" t="s">
        <v>5104</v>
      </c>
      <c r="D1701" s="3" t="str">
        <f ca="1">IFERROR(__xludf.DUMMYFUNCTION("GOOGLETRANSLATE(A1701,""fr"",""en"")"),"boxer")</f>
        <v>boxer</v>
      </c>
      <c r="E1701" s="3" t="str">
        <f ca="1">IFERROR(__xludf.DUMMYFUNCTION("GOOGLETRANSLATE(B1701,""fr"",""en"")"),"He had to box his opponent to defend himself.")</f>
        <v>He had to box his opponent to defend himself.</v>
      </c>
    </row>
    <row r="1702" spans="1:5" x14ac:dyDescent="0.25">
      <c r="A1702" s="2" t="s">
        <v>5105</v>
      </c>
      <c r="B1702" s="2" t="s">
        <v>5106</v>
      </c>
      <c r="C1702" s="3" t="s">
        <v>5107</v>
      </c>
      <c r="D1702" s="3" t="str">
        <f ca="1">IFERROR(__xludf.DUMMYFUNCTION("GOOGLETRANSLATE(A1702,""fr"",""en"")"),"to sift")</f>
        <v>to sift</v>
      </c>
      <c r="E1702" s="3" t="str">
        <f ca="1">IFERROR(__xludf.DUMMYFUNCTION("GOOGLETRANSLATE(B1702,""fr"",""en"")"),"Bullets riddled the facade of the building.")</f>
        <v>Bullets riddled the facade of the building.</v>
      </c>
    </row>
    <row r="1703" spans="1:5" x14ac:dyDescent="0.25">
      <c r="A1703" s="2" t="s">
        <v>5108</v>
      </c>
      <c r="B1703" s="2" t="s">
        <v>5109</v>
      </c>
      <c r="C1703" s="3" t="s">
        <v>5110</v>
      </c>
      <c r="D1703" s="3" t="str">
        <f ca="1">IFERROR(__xludf.DUMMYFUNCTION("GOOGLETRANSLATE(A1703,""fr"",""en"")"),"reinsert")</f>
        <v>reinsert</v>
      </c>
      <c r="E1703" s="3" t="str">
        <f ca="1">IFERROR(__xludf.DUMMYFUNCTION("GOOGLETRANSLATE(B1703,""fr"",""en"")"),"After reintegrating into society, he found a stable job.")</f>
        <v>After reintegrating into society, he found a stable job.</v>
      </c>
    </row>
    <row r="1704" spans="1:5" x14ac:dyDescent="0.25">
      <c r="A1704" s="2" t="s">
        <v>5111</v>
      </c>
      <c r="B1704" s="2" t="s">
        <v>5112</v>
      </c>
      <c r="C1704" s="3" t="s">
        <v>5113</v>
      </c>
      <c r="D1704" s="3" t="str">
        <f ca="1">IFERROR(__xludf.DUMMYFUNCTION("GOOGLETRANSLATE(A1704,""fr"",""en"")"),"to hit")</f>
        <v>to hit</v>
      </c>
      <c r="E1704" s="3" t="str">
        <f ca="1">IFERROR(__xludf.DUMMYFUNCTION("GOOGLETRANSLATE(B1704,""fr"",""en"")"),"She likes to tease her friends to make them laugh.")</f>
        <v>She likes to tease her friends to make them laugh.</v>
      </c>
    </row>
    <row r="1705" spans="1:5" x14ac:dyDescent="0.25">
      <c r="A1705" s="2" t="s">
        <v>5114</v>
      </c>
      <c r="B1705" s="2" t="s">
        <v>5115</v>
      </c>
      <c r="C1705" s="3" t="s">
        <v>5116</v>
      </c>
      <c r="D1705" s="3" t="str">
        <f ca="1">IFERROR(__xludf.DUMMYFUNCTION("GOOGLETRANSLATE(A1705,""fr"",""en"")"),"immerse")</f>
        <v>immerse</v>
      </c>
      <c r="E1705" s="3" t="str">
        <f ca="1">IFERROR(__xludf.DUMMYFUNCTION("GOOGLETRANSLATE(B1705,""fr"",""en"")"),"The diver submerged himself in deep water.")</f>
        <v>The diver submerged himself in deep water.</v>
      </c>
    </row>
    <row r="1706" spans="1:5" x14ac:dyDescent="0.25">
      <c r="A1706" s="2" t="s">
        <v>5117</v>
      </c>
      <c r="B1706" s="2" t="s">
        <v>5118</v>
      </c>
      <c r="C1706" s="3" t="s">
        <v>5119</v>
      </c>
      <c r="D1706" s="3" t="str">
        <f ca="1">IFERROR(__xludf.DUMMYFUNCTION("GOOGLETRANSLATE(A1706,""fr"",""en"")"),"to upset")</f>
        <v>to upset</v>
      </c>
      <c r="E1706" s="3" t="str">
        <f ca="1">IFERROR(__xludf.DUMMYFUNCTION("GOOGLETRANSLATE(B1706,""fr"",""en"")"),"This tragedy has shocked the entire community.")</f>
        <v>This tragedy has shocked the entire community.</v>
      </c>
    </row>
    <row r="1707" spans="1:5" x14ac:dyDescent="0.25">
      <c r="A1707" s="2" t="s">
        <v>5120</v>
      </c>
      <c r="B1707" s="2" t="s">
        <v>5121</v>
      </c>
      <c r="C1707" s="3" t="s">
        <v>5122</v>
      </c>
      <c r="D1707" s="3" t="str">
        <f ca="1">IFERROR(__xludf.DUMMYFUNCTION("GOOGLETRANSLATE(A1707,""fr"",""en"")"),"border")</f>
        <v>border</v>
      </c>
      <c r="E1707" s="3" t="str">
        <f ca="1">IFERROR(__xludf.DUMMYFUNCTION("GOOGLETRANSLATE(B1707,""fr"",""en"")"),"She tucked the bed into fresh sheets.")</f>
        <v>She tucked the bed into fresh sheets.</v>
      </c>
    </row>
    <row r="1708" spans="1:5" x14ac:dyDescent="0.25">
      <c r="A1708" s="2" t="s">
        <v>5123</v>
      </c>
      <c r="B1708" s="2" t="s">
        <v>5124</v>
      </c>
      <c r="C1708" s="3" t="s">
        <v>5125</v>
      </c>
      <c r="D1708" s="3" t="str">
        <f ca="1">IFERROR(__xludf.DUMMYFUNCTION("GOOGLETRANSLATE(A1708,""fr"",""en"")"),"bury")</f>
        <v>bury</v>
      </c>
      <c r="E1708" s="3" t="str">
        <f ca="1">IFERROR(__xludf.DUMMYFUNCTION("GOOGLETRANSLATE(B1708,""fr"",""en"")"),"Archaeologists have discovered ruins buried underground.")</f>
        <v>Archaeologists have discovered ruins buried underground.</v>
      </c>
    </row>
    <row r="1709" spans="1:5" x14ac:dyDescent="0.25">
      <c r="A1709" s="2" t="s">
        <v>5126</v>
      </c>
      <c r="B1709" s="2" t="s">
        <v>5127</v>
      </c>
      <c r="C1709" s="3" t="s">
        <v>5128</v>
      </c>
      <c r="D1709" s="3" t="str">
        <f ca="1">IFERROR(__xludf.DUMMYFUNCTION("GOOGLETRANSLATE(A1709,""fr"",""en"")"),"split")</f>
        <v>split</v>
      </c>
      <c r="E1709" s="3" t="str">
        <f ca="1">IFERROR(__xludf.DUMMYFUNCTION("GOOGLETRANSLATE(B1709,""fr"",""en"")"),"He had to split the project into several parts to manage it.")</f>
        <v>He had to split the project into several parts to manage it.</v>
      </c>
    </row>
    <row r="1710" spans="1:5" x14ac:dyDescent="0.25">
      <c r="A1710" s="2" t="s">
        <v>5129</v>
      </c>
      <c r="B1710" s="2" t="s">
        <v>5130</v>
      </c>
      <c r="C1710" s="3" t="s">
        <v>5131</v>
      </c>
      <c r="D1710" s="3" t="str">
        <f ca="1">IFERROR(__xludf.DUMMYFUNCTION("GOOGLETRANSLATE(A1710,""fr"",""en"")"),"encapsulate")</f>
        <v>encapsulate</v>
      </c>
      <c r="E1710" s="3" t="str">
        <f ca="1">IFERROR(__xludf.DUMMYFUNCTION("GOOGLETRANSLATE(B1710,""fr"",""en"")"),"The drug is encapsulated for slow release.")</f>
        <v>The drug is encapsulated for slow release.</v>
      </c>
    </row>
    <row r="1711" spans="1:5" x14ac:dyDescent="0.25">
      <c r="A1711" s="2" t="s">
        <v>5132</v>
      </c>
      <c r="B1711" s="2" t="s">
        <v>5133</v>
      </c>
      <c r="C1711" s="3" t="s">
        <v>5134</v>
      </c>
      <c r="D1711" s="3" t="str">
        <f ca="1">IFERROR(__xludf.DUMMYFUNCTION("GOOGLETRANSLATE(A1711,""fr"",""en"")"),"collapse")</f>
        <v>collapse</v>
      </c>
      <c r="E1711" s="3" t="str">
        <f ca="1">IFERROR(__xludf.DUMMYFUNCTION("GOOGLETRANSLATE(B1711,""fr"",""en"")"),"The fragile structure collapsed under its own weight.")</f>
        <v>The fragile structure collapsed under its own weight.</v>
      </c>
    </row>
    <row r="1712" spans="1:5" x14ac:dyDescent="0.25">
      <c r="A1712" s="2" t="s">
        <v>5135</v>
      </c>
      <c r="B1712" s="2" t="s">
        <v>5136</v>
      </c>
      <c r="C1712" s="3" t="s">
        <v>5137</v>
      </c>
      <c r="D1712" s="3" t="str">
        <f ca="1">IFERROR(__xludf.DUMMYFUNCTION("GOOGLETRANSLATE(A1712,""fr"",""en"")"),"to inquire")</f>
        <v>to inquire</v>
      </c>
      <c r="E1712" s="3" t="str">
        <f ca="1">IFERROR(__xludf.DUMMYFUNCTION("GOOGLETRANSLATE(B1712,""fr"",""en"")"),"He often inquires about the health of his loved ones.")</f>
        <v>He often inquires about the health of his loved ones.</v>
      </c>
    </row>
    <row r="1713" spans="1:5" x14ac:dyDescent="0.25">
      <c r="A1713" s="2" t="s">
        <v>5138</v>
      </c>
      <c r="B1713" s="2" t="s">
        <v>5139</v>
      </c>
      <c r="C1713" s="3" t="s">
        <v>5140</v>
      </c>
      <c r="D1713" s="3" t="str">
        <f ca="1">IFERROR(__xludf.DUMMYFUNCTION("GOOGLETRANSLATE(A1713,""fr"",""en"")"),"catalyze")</f>
        <v>catalyze</v>
      </c>
      <c r="E1713" s="3" t="str">
        <f ca="1">IFERROR(__xludf.DUMMYFUNCTION("GOOGLETRANSLATE(B1713,""fr"",""en"")"),"This catalyst accelerates the chemical reaction.")</f>
        <v>This catalyst accelerates the chemical reaction.</v>
      </c>
    </row>
    <row r="1714" spans="1:5" x14ac:dyDescent="0.25">
      <c r="A1714" s="2" t="s">
        <v>5141</v>
      </c>
      <c r="B1714" s="2" t="s">
        <v>5142</v>
      </c>
      <c r="C1714" s="3" t="s">
        <v>5143</v>
      </c>
      <c r="D1714" s="3" t="str">
        <f ca="1">IFERROR(__xludf.DUMMYFUNCTION("GOOGLETRANSLATE(A1714,""fr"",""en"")"),"overload")</f>
        <v>overload</v>
      </c>
      <c r="E1714" s="3" t="str">
        <f ca="1">IFERROR(__xludf.DUMMYFUNCTION("GOOGLETRANSLATE(B1714,""fr"",""en"")"),"Do not overload the electrical circuit to avoid short circuits.")</f>
        <v>Do not overload the electrical circuit to avoid short circuits.</v>
      </c>
    </row>
    <row r="1715" spans="1:5" x14ac:dyDescent="0.25">
      <c r="A1715" s="2" t="s">
        <v>5144</v>
      </c>
      <c r="B1715" s="2" t="s">
        <v>5145</v>
      </c>
      <c r="C1715" s="3" t="s">
        <v>5146</v>
      </c>
      <c r="D1715" s="3" t="str">
        <f ca="1">IFERROR(__xludf.DUMMYFUNCTION("GOOGLETRANSLATE(A1715,""fr"",""en"")"),"degenerate")</f>
        <v>degenerate</v>
      </c>
      <c r="E1715" s="3" t="str">
        <f ca="1">IFERROR(__xludf.DUMMYFUNCTION("GOOGLETRANSLATE(B1715,""fr"",""en"")"),"His health deteriorated after years of neglect.")</f>
        <v>His health deteriorated after years of neglect.</v>
      </c>
    </row>
    <row r="1716" spans="1:5" x14ac:dyDescent="0.25">
      <c r="A1716" s="2" t="s">
        <v>5147</v>
      </c>
      <c r="B1716" s="2" t="s">
        <v>5148</v>
      </c>
      <c r="C1716" s="3" t="s">
        <v>5149</v>
      </c>
      <c r="D1716" s="3" t="str">
        <f ca="1">IFERROR(__xludf.DUMMYFUNCTION("GOOGLETRANSLATE(A1716,""fr"",""en"")"),"to yell at")</f>
        <v>to yell at</v>
      </c>
      <c r="E1716" s="3" t="str">
        <f ca="1">IFERROR(__xludf.DUMMYFUNCTION("GOOGLETRANSLATE(B1716,""fr"",""en"")"),"They argued about their disagreement.")</f>
        <v>They argued about their disagreement.</v>
      </c>
    </row>
    <row r="1717" spans="1:5" x14ac:dyDescent="0.25">
      <c r="A1717" s="2" t="s">
        <v>5150</v>
      </c>
      <c r="B1717" s="2" t="s">
        <v>5151</v>
      </c>
      <c r="C1717" s="3" t="s">
        <v>5152</v>
      </c>
      <c r="D1717" s="3" t="str">
        <f ca="1">IFERROR(__xludf.DUMMYFUNCTION("GOOGLETRANSLATE(A1717,""fr"",""en"")"),"pollute")</f>
        <v>pollute</v>
      </c>
      <c r="E1717" s="3" t="str">
        <f ca="1">IFERROR(__xludf.DUMMYFUNCTION("GOOGLETRANSLATE(B1717,""fr"",""en"")"),"Factories often pollute surrounding rivers.")</f>
        <v>Factories often pollute surrounding rivers.</v>
      </c>
    </row>
    <row r="1718" spans="1:5" x14ac:dyDescent="0.25">
      <c r="A1718" s="2" t="s">
        <v>5153</v>
      </c>
      <c r="B1718" s="2" t="s">
        <v>5154</v>
      </c>
      <c r="C1718" s="3" t="s">
        <v>5155</v>
      </c>
      <c r="D1718" s="3" t="str">
        <f ca="1">IFERROR(__xludf.DUMMYFUNCTION("GOOGLETRANSLATE(A1718,""fr"",""en"")"),"to peat")</f>
        <v>to peat</v>
      </c>
      <c r="E1718" s="3" t="str">
        <f ca="1">IFERROR(__xludf.DUMMYFUNCTION("GOOGLETRANSLATE(B1718,""fr"",""en"")"),"Marshes are often peated to extract fuel.")</f>
        <v>Marshes are often peated to extract fuel.</v>
      </c>
    </row>
    <row r="1719" spans="1:5" x14ac:dyDescent="0.25">
      <c r="A1719" s="2" t="s">
        <v>5156</v>
      </c>
      <c r="B1719" s="2" t="s">
        <v>5157</v>
      </c>
      <c r="C1719" s="3" t="s">
        <v>5158</v>
      </c>
      <c r="D1719" s="3" t="str">
        <f ca="1">IFERROR(__xludf.DUMMYFUNCTION("GOOGLETRANSLATE(A1719,""fr"",""en"")"),"codify")</f>
        <v>codify</v>
      </c>
      <c r="E1719" s="3" t="str">
        <f ca="1">IFERROR(__xludf.DUMMYFUNCTION("GOOGLETRANSLATE(B1719,""fr"",""en"")"),"This software allows data to be securely encoded.")</f>
        <v>This software allows data to be securely encoded.</v>
      </c>
    </row>
    <row r="1720" spans="1:5" x14ac:dyDescent="0.25">
      <c r="A1720" s="2" t="s">
        <v>5159</v>
      </c>
      <c r="B1720" s="2" t="s">
        <v>5160</v>
      </c>
      <c r="C1720" s="3" t="s">
        <v>5161</v>
      </c>
      <c r="D1720" s="3" t="str">
        <f ca="1">IFERROR(__xludf.DUMMYFUNCTION("GOOGLETRANSLATE(A1720,""fr"",""en"")"),"to north")</f>
        <v>to north</v>
      </c>
      <c r="E1720" s="3" t="str">
        <f ca="1">IFERROR(__xludf.DUMMYFUNCTION("GOOGLETRANSLATE(B1720,""fr"",""en"")"),"The wind steered the ship north towards its destination.")</f>
        <v>The wind steered the ship north towards its destination.</v>
      </c>
    </row>
    <row r="1721" spans="1:5" x14ac:dyDescent="0.25">
      <c r="A1721" s="2" t="s">
        <v>5162</v>
      </c>
      <c r="B1721" s="2" t="s">
        <v>5163</v>
      </c>
      <c r="C1721" s="3" t="s">
        <v>5164</v>
      </c>
      <c r="D1721" s="3" t="str">
        <f ca="1">IFERROR(__xludf.DUMMYFUNCTION("GOOGLETRANSLATE(A1721,""fr"",""en"")"),"to breathe")</f>
        <v>to breathe</v>
      </c>
      <c r="E1721" s="3" t="str">
        <f ca="1">IFERROR(__xludf.DUMMYFUNCTION("GOOGLETRANSLATE(B1721,""fr"",""en"")"),"His encouragement gave me the confidence I needed.")</f>
        <v>His encouragement gave me the confidence I needed.</v>
      </c>
    </row>
    <row r="1722" spans="1:5" x14ac:dyDescent="0.25">
      <c r="A1722" s="2" t="s">
        <v>5165</v>
      </c>
      <c r="B1722" s="2" t="s">
        <v>5166</v>
      </c>
      <c r="C1722" s="3" t="s">
        <v>5167</v>
      </c>
      <c r="D1722" s="3" t="str">
        <f ca="1">IFERROR(__xludf.DUMMYFUNCTION("GOOGLETRANSLATE(A1722,""fr"",""en"")"),"refrigerate")</f>
        <v>refrigerate</v>
      </c>
      <c r="E1722" s="3" t="str">
        <f ca="1">IFERROR(__xludf.DUMMYFUNCTION("GOOGLETRANSLATE(B1722,""fr"",""en"")"),"The cake must be refrigerated to keep it fresh.")</f>
        <v>The cake must be refrigerated to keep it fresh.</v>
      </c>
    </row>
    <row r="1723" spans="1:5" x14ac:dyDescent="0.25">
      <c r="A1723" s="2" t="s">
        <v>5168</v>
      </c>
      <c r="B1723" s="2" t="s">
        <v>5169</v>
      </c>
      <c r="C1723" s="3" t="s">
        <v>5170</v>
      </c>
      <c r="D1723" s="3" t="str">
        <f ca="1">IFERROR(__xludf.DUMMYFUNCTION("GOOGLETRANSLATE(A1723,""fr"",""en"")"),"ignite")</f>
        <v>ignite</v>
      </c>
      <c r="E1723" s="3" t="str">
        <f ca="1">IFERROR(__xludf.DUMMYFUNCTION("GOOGLETRANSLATE(B1723,""fr"",""en"")"),"Protesters set fire to barricades in the street.")</f>
        <v>Protesters set fire to barricades in the street.</v>
      </c>
    </row>
    <row r="1724" spans="1:5" x14ac:dyDescent="0.25">
      <c r="A1724" s="2" t="s">
        <v>5171</v>
      </c>
      <c r="B1724" s="2" t="s">
        <v>5172</v>
      </c>
      <c r="C1724" s="3" t="s">
        <v>5173</v>
      </c>
      <c r="D1724" s="3" t="str">
        <f ca="1">IFERROR(__xludf.DUMMYFUNCTION("GOOGLETRANSLATE(A1724,""fr"",""en"")"),"to harness")</f>
        <v>to harness</v>
      </c>
      <c r="E1724" s="3" t="str">
        <f ca="1">IFERROR(__xludf.DUMMYFUNCTION("GOOGLETRANSLATE(B1724,""fr"",""en"")"),"The horses are harnessed to the cart for the market.")</f>
        <v>The horses are harnessed to the cart for the market.</v>
      </c>
    </row>
    <row r="1725" spans="1:5" x14ac:dyDescent="0.25">
      <c r="A1725" s="2" t="s">
        <v>5174</v>
      </c>
      <c r="B1725" s="2" t="s">
        <v>5175</v>
      </c>
      <c r="C1725" s="3" t="s">
        <v>5176</v>
      </c>
      <c r="D1725" s="3" t="str">
        <f ca="1">IFERROR(__xludf.DUMMYFUNCTION("GOOGLETRANSLATE(A1725,""fr"",""en"")"),"to charcoal")</f>
        <v>to charcoal</v>
      </c>
      <c r="E1725" s="3" t="str">
        <f ca="1">IFERROR(__xludf.DUMMYFUNCTION("GOOGLETRANSLATE(B1725,""fr"",""en"")"),"He likes to work all night to finish his projects.")</f>
        <v>He likes to work all night to finish his projects.</v>
      </c>
    </row>
    <row r="1726" spans="1:5" x14ac:dyDescent="0.25">
      <c r="A1726" s="2" t="s">
        <v>5177</v>
      </c>
      <c r="B1726" s="2" t="s">
        <v>5178</v>
      </c>
      <c r="C1726" s="3" t="s">
        <v>5179</v>
      </c>
      <c r="D1726" s="3" t="str">
        <f ca="1">IFERROR(__xludf.DUMMYFUNCTION("GOOGLETRANSLATE(A1726,""fr"",""en"")"),"underemploy")</f>
        <v>underemploy</v>
      </c>
      <c r="E1726" s="3" t="str">
        <f ca="1">IFERROR(__xludf.DUMMYFUNCTION("GOOGLETRANSLATE(B1726,""fr"",""en"")"),"She feels underemployed in her current job.")</f>
        <v>She feels underemployed in her current job.</v>
      </c>
    </row>
    <row r="1727" spans="1:5" x14ac:dyDescent="0.25">
      <c r="A1727" s="2" t="s">
        <v>5180</v>
      </c>
      <c r="B1727" s="2" t="s">
        <v>5181</v>
      </c>
      <c r="C1727" s="3" t="s">
        <v>5182</v>
      </c>
      <c r="D1727" s="3" t="str">
        <f ca="1">IFERROR(__xludf.DUMMYFUNCTION("GOOGLETRANSLATE(A1727,""fr"",""en"")"),"to prejudge")</f>
        <v>to prejudge</v>
      </c>
      <c r="E1727" s="3" t="str">
        <f ca="1">IFERROR(__xludf.DUMMYFUNCTION("GOOGLETRANSLATE(B1727,""fr"",""en"")"),"We should not prejudge the intentions of others.")</f>
        <v>We should not prejudge the intentions of others.</v>
      </c>
    </row>
    <row r="1728" spans="1:5" x14ac:dyDescent="0.25">
      <c r="A1728" s="2" t="s">
        <v>5183</v>
      </c>
      <c r="B1728" s="2" t="s">
        <v>5184</v>
      </c>
      <c r="C1728" s="3" t="s">
        <v>5185</v>
      </c>
      <c r="D1728" s="3" t="str">
        <f ca="1">IFERROR(__xludf.DUMMYFUNCTION("GOOGLETRANSLATE(A1728,""fr"",""en"")"),"incriminate")</f>
        <v>incriminate</v>
      </c>
      <c r="E1728" s="3" t="str">
        <f ca="1">IFERROR(__xludf.DUMMYFUNCTION("GOOGLETRANSLATE(B1728,""fr"",""en"")"),"The accusations wrongly incriminated him.")</f>
        <v>The accusations wrongly incriminated him.</v>
      </c>
    </row>
    <row r="1729" spans="1:5" x14ac:dyDescent="0.25">
      <c r="A1729" s="2" t="s">
        <v>5186</v>
      </c>
      <c r="B1729" s="2" t="s">
        <v>5187</v>
      </c>
      <c r="C1729" s="3" t="s">
        <v>5188</v>
      </c>
      <c r="D1729" s="3" t="str">
        <f ca="1">IFERROR(__xludf.DUMMYFUNCTION("GOOGLETRANSLATE(A1729,""fr"",""en"")"),"consumer")</f>
        <v>consumer</v>
      </c>
      <c r="E1729" s="3" t="str">
        <f ca="1">IFERROR(__xludf.DUMMYFUNCTION("GOOGLETRANSLATE(B1729,""fr"",""en"")"),"The war consumed all their resources.")</f>
        <v>The war consumed all their resources.</v>
      </c>
    </row>
    <row r="1730" spans="1:5" x14ac:dyDescent="0.25">
      <c r="A1730" s="2" t="s">
        <v>5189</v>
      </c>
      <c r="B1730" s="2" t="s">
        <v>5190</v>
      </c>
      <c r="C1730" s="3" t="s">
        <v>5191</v>
      </c>
      <c r="D1730" s="3" t="str">
        <f ca="1">IFERROR(__xludf.DUMMYFUNCTION("GOOGLETRANSLATE(A1730,""fr"",""en"")"),"haunt")</f>
        <v>haunt</v>
      </c>
      <c r="E1730" s="3" t="str">
        <f ca="1">IFERROR(__xludf.DUMMYFUNCTION("GOOGLETRANSLATE(B1730,""fr"",""en"")"),"This house is haunted by spirits according to legend.")</f>
        <v>This house is haunted by spirits according to legend.</v>
      </c>
    </row>
    <row r="1731" spans="1:5" x14ac:dyDescent="0.25">
      <c r="A1731" s="2" t="s">
        <v>5192</v>
      </c>
      <c r="B1731" s="2" t="s">
        <v>5193</v>
      </c>
      <c r="C1731" s="3" t="s">
        <v>5194</v>
      </c>
      <c r="D1731" s="3" t="str">
        <f ca="1">IFERROR(__xludf.DUMMYFUNCTION("GOOGLETRANSLATE(A1731,""fr"",""en"")"),"bomb")</f>
        <v>bomb</v>
      </c>
      <c r="E1731" s="3" t="str">
        <f ca="1">IFERROR(__xludf.DUMMYFUNCTION("GOOGLETRANSLATE(B1731,""fr"",""en"")"),"Planes bombed the city during the war.")</f>
        <v>Planes bombed the city during the war.</v>
      </c>
    </row>
    <row r="1732" spans="1:5" x14ac:dyDescent="0.25">
      <c r="A1732" s="2" t="s">
        <v>5195</v>
      </c>
      <c r="B1732" s="2" t="s">
        <v>5196</v>
      </c>
      <c r="C1732" s="3" t="s">
        <v>5197</v>
      </c>
      <c r="D1732" s="3" t="str">
        <f ca="1">IFERROR(__xludf.DUMMYFUNCTION("GOOGLETRANSLATE(A1732,""fr"",""en"")"),"calibrate")</f>
        <v>calibrate</v>
      </c>
      <c r="E1732" s="3" t="str">
        <f ca="1">IFERROR(__xludf.DUMMYFUNCTION("GOOGLETRANSLATE(B1732,""fr"",""en"")"),"Measuring instruments must be precisely calibrated.")</f>
        <v>Measuring instruments must be precisely calibrated.</v>
      </c>
    </row>
    <row r="1733" spans="1:5" x14ac:dyDescent="0.25">
      <c r="A1733" s="2" t="s">
        <v>5198</v>
      </c>
      <c r="B1733" s="2" t="s">
        <v>5199</v>
      </c>
      <c r="C1733" s="3" t="s">
        <v>5200</v>
      </c>
      <c r="D1733" s="3" t="str">
        <f ca="1">IFERROR(__xludf.DUMMYFUNCTION("GOOGLETRANSLATE(A1733,""fr"",""en"")"),"suicide")</f>
        <v>suicide</v>
      </c>
      <c r="E1733" s="3" t="str">
        <f ca="1">IFERROR(__xludf.DUMMYFUNCTION("GOOGLETRANSLATE(B1733,""fr"",""en"")"),"The tragedy drove him to commit suicide.")</f>
        <v>The tragedy drove him to commit suicide.</v>
      </c>
    </row>
    <row r="1734" spans="1:5" x14ac:dyDescent="0.25">
      <c r="A1734" s="2" t="s">
        <v>5201</v>
      </c>
      <c r="B1734" s="2" t="s">
        <v>5202</v>
      </c>
      <c r="C1734" s="3" t="s">
        <v>5203</v>
      </c>
      <c r="D1734" s="3" t="str">
        <f ca="1">IFERROR(__xludf.DUMMYFUNCTION("GOOGLETRANSLATE(A1734,""fr"",""en"")"),"kidnap")</f>
        <v>kidnap</v>
      </c>
      <c r="E1734" s="3" t="str">
        <f ca="1">IFERROR(__xludf.DUMMYFUNCTION("GOOGLETRANSLATE(B1734,""fr"",""en"")"),"Criminals tried to kidnap the child.")</f>
        <v>Criminals tried to kidnap the child.</v>
      </c>
    </row>
    <row r="1735" spans="1:5" x14ac:dyDescent="0.25">
      <c r="A1735" s="2" t="s">
        <v>5204</v>
      </c>
      <c r="B1735" s="2" t="s">
        <v>5205</v>
      </c>
      <c r="C1735" s="3" t="s">
        <v>5206</v>
      </c>
      <c r="D1735" s="3" t="str">
        <f ca="1">IFERROR(__xludf.DUMMYFUNCTION("GOOGLETRANSLATE(A1735,""fr"",""en"")"),"perch")</f>
        <v>perch</v>
      </c>
      <c r="E1735" s="3" t="str">
        <f ca="1">IFERROR(__xludf.DUMMYFUNCTION("GOOGLETRANSLATE(B1735,""fr"",""en"")"),"The cat likes to perch at the top of the tree.")</f>
        <v>The cat likes to perch at the top of the tree.</v>
      </c>
    </row>
    <row r="1736" spans="1:5" x14ac:dyDescent="0.25">
      <c r="A1736" s="2" t="s">
        <v>5207</v>
      </c>
      <c r="B1736" s="2" t="s">
        <v>5208</v>
      </c>
      <c r="C1736" s="3" t="s">
        <v>5209</v>
      </c>
      <c r="D1736" s="3" t="str">
        <f ca="1">IFERROR(__xludf.DUMMYFUNCTION("GOOGLETRANSLATE(A1736,""fr"",""en"")"),"oxidize")</f>
        <v>oxidize</v>
      </c>
      <c r="E1736" s="3" t="str">
        <f ca="1">IFERROR(__xludf.DUMMYFUNCTION("GOOGLETRANSLATE(B1736,""fr"",""en"")"),"The metal oxidizes on contact with water and air.")</f>
        <v>The metal oxidizes on contact with water and air.</v>
      </c>
    </row>
    <row r="1737" spans="1:5" x14ac:dyDescent="0.25">
      <c r="A1737" s="2" t="s">
        <v>5210</v>
      </c>
      <c r="B1737" s="2" t="s">
        <v>5211</v>
      </c>
      <c r="C1737" s="3" t="s">
        <v>5212</v>
      </c>
      <c r="D1737" s="3" t="str">
        <f ca="1">IFERROR(__xludf.DUMMYFUNCTION("GOOGLETRANSLATE(A1737,""fr"",""en"")"),"vaccinate")</f>
        <v>vaccinate</v>
      </c>
      <c r="E1737" s="3" t="str">
        <f ca="1">IFERROR(__xludf.DUMMYFUNCTION("GOOGLETRANSLATE(B1737,""fr"",""en"")"),"Getting vaccinated against the flu is essential.")</f>
        <v>Getting vaccinated against the flu is essential.</v>
      </c>
    </row>
    <row r="1738" spans="1:5" x14ac:dyDescent="0.25">
      <c r="A1738" s="2" t="s">
        <v>5213</v>
      </c>
      <c r="B1738" s="2" t="s">
        <v>5214</v>
      </c>
      <c r="C1738" s="3" t="s">
        <v>5215</v>
      </c>
      <c r="D1738" s="3" t="str">
        <f ca="1">IFERROR(__xludf.DUMMYFUNCTION("GOOGLETRANSLATE(A1738,""fr"",""en"")"),"kidding")</f>
        <v>kidding</v>
      </c>
      <c r="E1738" s="3" t="str">
        <f ca="1">IFERROR(__xludf.DUMMYFUNCTION("GOOGLETRANSLATE(B1738,""fr"",""en"")"),"He likes to joke with his colleagues to lighten the mood.")</f>
        <v>He likes to joke with his colleagues to lighten the mood.</v>
      </c>
    </row>
    <row r="1739" spans="1:5" x14ac:dyDescent="0.25">
      <c r="A1739" s="2" t="s">
        <v>5216</v>
      </c>
      <c r="B1739" s="2" t="s">
        <v>5217</v>
      </c>
      <c r="C1739" s="3" t="s">
        <v>5218</v>
      </c>
      <c r="D1739" s="3" t="str">
        <f ca="1">IFERROR(__xludf.DUMMYFUNCTION("GOOGLETRANSLATE(A1739,""fr"",""en"")"),"coat")</f>
        <v>coat</v>
      </c>
      <c r="E1739" s="3" t="str">
        <f ca="1">IFERROR(__xludf.DUMMYFUNCTION("GOOGLETRANSLATE(B1739,""fr"",""en"")"),"The chocolates are coated in dark and white chocolate.")</f>
        <v>The chocolates are coated in dark and white chocolate.</v>
      </c>
    </row>
    <row r="1740" spans="1:5" x14ac:dyDescent="0.25">
      <c r="A1740" s="2" t="s">
        <v>5219</v>
      </c>
      <c r="B1740" s="2" t="s">
        <v>5220</v>
      </c>
      <c r="C1740" s="3" t="s">
        <v>5221</v>
      </c>
      <c r="D1740" s="3" t="str">
        <f ca="1">IFERROR(__xludf.DUMMYFUNCTION("GOOGLETRANSLATE(A1740,""fr"",""en"")"),"explain")</f>
        <v>explain</v>
      </c>
      <c r="E1740" s="3" t="str">
        <f ca="1">IFERROR(__xludf.DUMMYFUNCTION("GOOGLETRANSLATE(B1740,""fr"",""en"")"),"The terms of the contract must be made clear to avoid misunderstandings.")</f>
        <v>The terms of the contract must be made clear to avoid misunderstandings.</v>
      </c>
    </row>
    <row r="1741" spans="1:5" x14ac:dyDescent="0.25">
      <c r="A1741" s="2" t="s">
        <v>5222</v>
      </c>
      <c r="B1741" s="2" t="s">
        <v>5223</v>
      </c>
      <c r="C1741" s="3" t="s">
        <v>5224</v>
      </c>
      <c r="D1741" s="3" t="str">
        <f ca="1">IFERROR(__xludf.DUMMYFUNCTION("GOOGLETRANSLATE(A1741,""fr"",""en"")"),"to caper")</f>
        <v>to caper</v>
      </c>
      <c r="E1741" s="3" t="str">
        <f ca="1">IFERROR(__xludf.DUMMYFUNCTION("GOOGLETRANSLATE(B1741,""fr"",""en"")"),"Children love to romp around in the garden.")</f>
        <v>Children love to romp around in the garden.</v>
      </c>
    </row>
    <row r="1742" spans="1:5" x14ac:dyDescent="0.25">
      <c r="A1742" s="2" t="s">
        <v>5225</v>
      </c>
      <c r="B1742" s="2" t="s">
        <v>5226</v>
      </c>
      <c r="C1742" s="3" t="s">
        <v>5227</v>
      </c>
      <c r="D1742" s="3" t="str">
        <f ca="1">IFERROR(__xludf.DUMMYFUNCTION("GOOGLETRANSLATE(A1742,""fr"",""en"")"),"to coat")</f>
        <v>to coat</v>
      </c>
      <c r="E1742" s="3" t="str">
        <f ca="1">IFERROR(__xludf.DUMMYFUNCTION("GOOGLETRANSLATE(B1742,""fr"",""en"")"),"She coated the wall with a coat of white paint.")</f>
        <v>She coated the wall with a coat of white paint.</v>
      </c>
    </row>
    <row r="1743" spans="1:5" x14ac:dyDescent="0.25">
      <c r="A1743" s="2" t="s">
        <v>5228</v>
      </c>
      <c r="B1743" s="2" t="s">
        <v>5229</v>
      </c>
      <c r="C1743" s="3" t="s">
        <v>5230</v>
      </c>
      <c r="D1743" s="3" t="str">
        <f ca="1">IFERROR(__xludf.DUMMYFUNCTION("GOOGLETRANSLATE(A1743,""fr"",""en"")"),"to conceal")</f>
        <v>to conceal</v>
      </c>
      <c r="E1743" s="3" t="str">
        <f ca="1">IFERROR(__xludf.DUMMYFUNCTION("GOOGLETRANSLATE(B1743,""fr"",""en"")"),"He hides his emotions so as not to overshadow them.")</f>
        <v>He hides his emotions so as not to overshadow them.</v>
      </c>
    </row>
    <row r="1744" spans="1:5" x14ac:dyDescent="0.25">
      <c r="A1744" s="2" t="s">
        <v>5231</v>
      </c>
      <c r="B1744" s="2" t="s">
        <v>5232</v>
      </c>
      <c r="C1744" s="3" t="s">
        <v>5233</v>
      </c>
      <c r="D1744" s="3" t="str">
        <f ca="1">IFERROR(__xludf.DUMMYFUNCTION("GOOGLETRANSLATE(A1744,""fr"",""en"")"),"unroll")</f>
        <v>unroll</v>
      </c>
      <c r="E1744" s="3" t="str">
        <f ca="1">IFERROR(__xludf.DUMMYFUNCTION("GOOGLETRANSLATE(B1744,""fr"",""en"")"),"The carpet must be rolled out before the ceremony.")</f>
        <v>The carpet must be rolled out before the ceremony.</v>
      </c>
    </row>
    <row r="1745" spans="1:5" x14ac:dyDescent="0.25">
      <c r="A1745" s="2" t="s">
        <v>5234</v>
      </c>
      <c r="B1745" s="2" t="s">
        <v>5235</v>
      </c>
      <c r="C1745" s="3" t="s">
        <v>5236</v>
      </c>
      <c r="D1745" s="3" t="str">
        <f ca="1">IFERROR(__xludf.DUMMYFUNCTION("GOOGLETRANSLATE(A1745,""fr"",""en"")"),"pinch")</f>
        <v>pinch</v>
      </c>
      <c r="E1745" s="3" t="str">
        <f ca="1">IFERROR(__xludf.DUMMYFUNCTION("GOOGLETRANSLATE(B1745,""fr"",""en"")"),"She pursed her lips to keep from laughing.")</f>
        <v>She pursed her lips to keep from laughing.</v>
      </c>
    </row>
    <row r="1746" spans="1:5" x14ac:dyDescent="0.25">
      <c r="A1746" s="2" t="s">
        <v>5237</v>
      </c>
      <c r="B1746" s="2" t="s">
        <v>5238</v>
      </c>
      <c r="C1746" s="3" t="s">
        <v>5239</v>
      </c>
      <c r="D1746" s="3" t="str">
        <f ca="1">IFERROR(__xludf.DUMMYFUNCTION("GOOGLETRANSLATE(A1746,""fr"",""en"")"),"endorse")</f>
        <v>endorse</v>
      </c>
      <c r="E1746" s="3" t="str">
        <f ca="1">IFERROR(__xludf.DUMMYFUNCTION("GOOGLETRANSLATE(B1746,""fr"",""en"")"),"He had to take responsibility for the project.")</f>
        <v>He had to take responsibility for the project.</v>
      </c>
    </row>
    <row r="1747" spans="1:5" x14ac:dyDescent="0.25">
      <c r="A1747" s="2" t="s">
        <v>5240</v>
      </c>
      <c r="B1747" s="2" t="s">
        <v>5241</v>
      </c>
      <c r="C1747" s="3" t="s">
        <v>5242</v>
      </c>
      <c r="D1747" s="3" t="str">
        <f ca="1">IFERROR(__xludf.DUMMYFUNCTION("GOOGLETRANSLATE(A1747,""fr"",""en"")"),"stroll")</f>
        <v>stroll</v>
      </c>
      <c r="E1747" s="3" t="str">
        <f ca="1">IFERROR(__xludf.DUMMYFUNCTION("GOOGLETRANSLATE(B1747,""fr"",""en"")"),"They like to stroll along the beach at sunset.")</f>
        <v>They like to stroll along the beach at sunset.</v>
      </c>
    </row>
    <row r="1748" spans="1:5" x14ac:dyDescent="0.25">
      <c r="A1748" s="2" t="s">
        <v>5243</v>
      </c>
      <c r="B1748" s="2" t="s">
        <v>5244</v>
      </c>
      <c r="C1748" s="3" t="s">
        <v>5245</v>
      </c>
      <c r="D1748" s="3" t="str">
        <f ca="1">IFERROR(__xludf.DUMMYFUNCTION("GOOGLETRANSLATE(A1748,""fr"",""en"")"),"adjourn")</f>
        <v>adjourn</v>
      </c>
      <c r="E1748" s="3" t="str">
        <f ca="1">IFERROR(__xludf.DUMMYFUNCTION("GOOGLETRANSLATE(B1748,""fr"",""en"")"),"The jury decided to adjourn the meeting until tomorrow.")</f>
        <v>The jury decided to adjourn the meeting until tomorrow.</v>
      </c>
    </row>
    <row r="1749" spans="1:5" x14ac:dyDescent="0.25">
      <c r="A1749" s="2" t="s">
        <v>5246</v>
      </c>
      <c r="B1749" s="2" t="s">
        <v>5247</v>
      </c>
      <c r="C1749" s="3" t="s">
        <v>5248</v>
      </c>
      <c r="D1749" s="3" t="str">
        <f ca="1">IFERROR(__xludf.DUMMYFUNCTION("GOOGLETRANSLATE(A1749,""fr"",""en"")"),"to clarify")</f>
        <v>to clarify</v>
      </c>
      <c r="E1749" s="3" t="str">
        <f ca="1">IFERROR(__xludf.DUMMYFUNCTION("GOOGLETRANSLATE(B1749,""fr"",""en"")"),"The night begins to clear, announcing dawn.")</f>
        <v>The night begins to clear, announcing dawn.</v>
      </c>
    </row>
    <row r="1750" spans="1:5" x14ac:dyDescent="0.25">
      <c r="A1750" s="2" t="s">
        <v>5249</v>
      </c>
      <c r="B1750" s="2" t="s">
        <v>5250</v>
      </c>
      <c r="C1750" s="3" t="s">
        <v>5251</v>
      </c>
      <c r="D1750" s="3" t="str">
        <f ca="1">IFERROR(__xludf.DUMMYFUNCTION("GOOGLETRANSLATE(A1750,""fr"",""en"")"),"underexpose")</f>
        <v>underexpose</v>
      </c>
      <c r="E1750" s="3" t="str">
        <f ca="1">IFERROR(__xludf.DUMMYFUNCTION("GOOGLETRANSLATE(B1750,""fr"",""en"")"),"You need to underexpose the photo to correct the exposure.")</f>
        <v>You need to underexpose the photo to correct the exposure.</v>
      </c>
    </row>
    <row r="1751" spans="1:5" x14ac:dyDescent="0.25">
      <c r="A1751" s="2" t="s">
        <v>5252</v>
      </c>
      <c r="B1751" s="2" t="s">
        <v>5253</v>
      </c>
      <c r="C1751" s="3" t="s">
        <v>5254</v>
      </c>
      <c r="D1751" s="3" t="str">
        <f ca="1">IFERROR(__xludf.DUMMYFUNCTION("GOOGLETRANSLATE(A1751,""fr"",""en"")"),"potentiate")</f>
        <v>potentiate</v>
      </c>
      <c r="E1751" s="3" t="str">
        <f ca="1">IFERROR(__xludf.DUMMYFUNCTION("GOOGLETRANSLATE(B1751,""fr"",""en"")"),"This drug helps to potentiate the effects of others.")</f>
        <v>This drug helps to potentiate the effects of others.</v>
      </c>
    </row>
    <row r="1752" spans="1:5" x14ac:dyDescent="0.25">
      <c r="A1752" s="2" t="s">
        <v>5255</v>
      </c>
      <c r="B1752" s="2" t="s">
        <v>5256</v>
      </c>
      <c r="C1752" s="3" t="s">
        <v>5257</v>
      </c>
      <c r="D1752" s="3" t="str">
        <f ca="1">IFERROR(__xludf.DUMMYFUNCTION("GOOGLETRANSLATE(A1752,""fr"",""en"")"),"stipulate")</f>
        <v>stipulate</v>
      </c>
      <c r="E1752" s="3" t="str">
        <f ca="1">IFERROR(__xludf.DUMMYFUNCTION("GOOGLETRANSLATE(B1752,""fr"",""en"")"),"The contract clearly states the obligations of the parties.")</f>
        <v>The contract clearly states the obligations of the parties.</v>
      </c>
    </row>
    <row r="1753" spans="1:5" x14ac:dyDescent="0.25">
      <c r="A1753" s="2" t="s">
        <v>5258</v>
      </c>
      <c r="B1753" s="2" t="s">
        <v>5259</v>
      </c>
      <c r="C1753" s="3" t="s">
        <v>5260</v>
      </c>
      <c r="D1753" s="3" t="str">
        <f ca="1">IFERROR(__xludf.DUMMYFUNCTION("GOOGLETRANSLATE(A1753,""fr"",""en"")"),"inaugurate")</f>
        <v>inaugurate</v>
      </c>
      <c r="E1753" s="3" t="str">
        <f ca="1">IFERROR(__xludf.DUMMYFUNCTION("GOOGLETRANSLATE(B1753,""fr"",""en"")"),"The mayor will inaugurate the new park this weekend.")</f>
        <v>The mayor will inaugurate the new park this weekend.</v>
      </c>
    </row>
    <row r="1754" spans="1:5" x14ac:dyDescent="0.25">
      <c r="A1754" s="2" t="s">
        <v>5261</v>
      </c>
      <c r="B1754" s="2" t="s">
        <v>5262</v>
      </c>
      <c r="C1754" s="3" t="s">
        <v>5263</v>
      </c>
      <c r="D1754" s="3" t="str">
        <f ca="1">IFERROR(__xludf.DUMMYFUNCTION("GOOGLETRANSLATE(A1754,""fr"",""en"")"),"improve")</f>
        <v>improve</v>
      </c>
      <c r="E1754" s="3" t="str">
        <f ca="1">IFERROR(__xludf.DUMMYFUNCTION("GOOGLETRANSLATE(B1754,""fr"",""en"")"),"She enhanced her coffee with a little cream.")</f>
        <v>She enhanced her coffee with a little cream.</v>
      </c>
    </row>
    <row r="1755" spans="1:5" x14ac:dyDescent="0.25">
      <c r="A1755" s="2" t="s">
        <v>5264</v>
      </c>
      <c r="B1755" s="2" t="s">
        <v>5265</v>
      </c>
      <c r="C1755" s="3" t="s">
        <v>5266</v>
      </c>
      <c r="D1755" s="3" t="str">
        <f ca="1">IFERROR(__xludf.DUMMYFUNCTION("GOOGLETRANSLATE(A1755,""fr"",""en"")"),"to attack")</f>
        <v>to attack</v>
      </c>
      <c r="E1755" s="3" t="str">
        <f ca="1">IFERROR(__xludf.DUMMYFUNCTION("GOOGLETRANSLATE(B1755,""fr"",""en"")"),"The robbers attacked the old man on the street.")</f>
        <v>The robbers attacked the old man on the street.</v>
      </c>
    </row>
    <row r="1756" spans="1:5" x14ac:dyDescent="0.25">
      <c r="A1756" s="2" t="s">
        <v>5267</v>
      </c>
      <c r="B1756" s="2" t="s">
        <v>5268</v>
      </c>
      <c r="C1756" s="3" t="s">
        <v>5269</v>
      </c>
      <c r="D1756" s="3" t="str">
        <f ca="1">IFERROR(__xludf.DUMMYFUNCTION("GOOGLETRANSLATE(A1756,""fr"",""en"")"),"revolutionize")</f>
        <v>revolutionize</v>
      </c>
      <c r="E1756" s="3" t="str">
        <f ca="1">IFERROR(__xludf.DUMMYFUNCTION("GOOGLETRANSLATE(B1756,""fr"",""en"")"),"His innovative ideas have revolutionized the way we approach this problem.")</f>
        <v>His innovative ideas have revolutionized the way we approach this problem.</v>
      </c>
    </row>
    <row r="1757" spans="1:5" x14ac:dyDescent="0.25">
      <c r="A1757" s="2" t="s">
        <v>5270</v>
      </c>
      <c r="B1757" s="2" t="s">
        <v>5271</v>
      </c>
      <c r="C1757" s="3" t="s">
        <v>5272</v>
      </c>
      <c r="D1757" s="3" t="str">
        <f ca="1">IFERROR(__xludf.DUMMYFUNCTION("GOOGLETRANSLATE(A1757,""fr"",""en"")"),"to knock")</f>
        <v>to knock</v>
      </c>
      <c r="E1757" s="3" t="str">
        <f ca="1">IFERROR(__xludf.DUMMYFUNCTION("GOOGLETRANSLATE(B1757,""fr"",""en"")"),"The boxer hit his opponent with a right hook.")</f>
        <v>The boxer hit his opponent with a right hook.</v>
      </c>
    </row>
    <row r="1758" spans="1:5" x14ac:dyDescent="0.25">
      <c r="A1758" s="2" t="s">
        <v>5273</v>
      </c>
      <c r="B1758" s="2" t="s">
        <v>5274</v>
      </c>
      <c r="C1758" s="3" t="s">
        <v>5275</v>
      </c>
      <c r="D1758" s="3" t="str">
        <f ca="1">IFERROR(__xludf.DUMMYFUNCTION("GOOGLETRANSLATE(A1758,""fr"",""en"")"),"shake")</f>
        <v>shake</v>
      </c>
      <c r="E1758" s="3" t="str">
        <f ca="1">IFERROR(__xludf.DUMMYFUNCTION("GOOGLETRANSLATE(B1758,""fr"",""en"")"),"The news shook the entire community.")</f>
        <v>The news shook the entire community.</v>
      </c>
    </row>
    <row r="1759" spans="1:5" x14ac:dyDescent="0.25">
      <c r="A1759" s="2" t="s">
        <v>5276</v>
      </c>
      <c r="B1759" s="2" t="s">
        <v>5277</v>
      </c>
      <c r="C1759" s="3" t="s">
        <v>5278</v>
      </c>
      <c r="D1759" s="3" t="str">
        <f ca="1">IFERROR(__xludf.DUMMYFUNCTION("GOOGLETRANSLATE(A1759,""fr"",""en"")"),"to denigrate")</f>
        <v>to denigrate</v>
      </c>
      <c r="E1759" s="3" t="str">
        <f ca="1">IFERROR(__xludf.DUMMYFUNCTION("GOOGLETRANSLATE(B1759,""fr"",""en"")"),"You should not denigrate your colleagues in their absence.")</f>
        <v>You should not denigrate your colleagues in their absence.</v>
      </c>
    </row>
    <row r="1760" spans="1:5" x14ac:dyDescent="0.25">
      <c r="A1760" s="2" t="s">
        <v>5279</v>
      </c>
      <c r="B1760" s="2" t="s">
        <v>5280</v>
      </c>
      <c r="C1760" s="3" t="s">
        <v>5281</v>
      </c>
      <c r="D1760" s="3" t="str">
        <f ca="1">IFERROR(__xludf.DUMMYFUNCTION("GOOGLETRANSLATE(A1760,""fr"",""en"")"),"reappear")</f>
        <v>reappear</v>
      </c>
      <c r="E1760" s="3" t="str">
        <f ca="1">IFERROR(__xludf.DUMMYFUNCTION("GOOGLETRANSLATE(B1760,""fr"",""en"")"),"After years of absence, he decided to reappear.")</f>
        <v>After years of absence, he decided to reappear.</v>
      </c>
    </row>
    <row r="1761" spans="1:5" x14ac:dyDescent="0.25">
      <c r="A1761" s="2" t="s">
        <v>5282</v>
      </c>
      <c r="B1761" s="2" t="s">
        <v>5283</v>
      </c>
      <c r="C1761" s="3" t="s">
        <v>5284</v>
      </c>
      <c r="D1761" s="3" t="str">
        <f ca="1">IFERROR(__xludf.DUMMYFUNCTION("GOOGLETRANSLATE(A1761,""fr"",""en"")"),"uninstall")</f>
        <v>uninstall</v>
      </c>
      <c r="E1761" s="3" t="str">
        <f ca="1">IFERROR(__xludf.DUMMYFUNCTION("GOOGLETRANSLATE(B1761,""fr"",""en"")"),"You must uninstall the old version before installing the new one.")</f>
        <v>You must uninstall the old version before installing the new one.</v>
      </c>
    </row>
    <row r="1762" spans="1:5" x14ac:dyDescent="0.25">
      <c r="A1762" s="2" t="s">
        <v>5285</v>
      </c>
      <c r="B1762" s="2" t="s">
        <v>5286</v>
      </c>
      <c r="C1762" s="3" t="s">
        <v>5287</v>
      </c>
      <c r="D1762" s="3" t="str">
        <f ca="1">IFERROR(__xludf.DUMMYFUNCTION("GOOGLETRANSLATE(A1762,""fr"",""en"")"),"improvise")</f>
        <v>improvise</v>
      </c>
      <c r="E1762" s="3" t="str">
        <f ca="1">IFERROR(__xludf.DUMMYFUNCTION("GOOGLETRANSLATE(B1762,""fr"",""en"")"),"The actor had to improvise his lines during the play.")</f>
        <v>The actor had to improvise his lines during the play.</v>
      </c>
    </row>
    <row r="1763" spans="1:5" x14ac:dyDescent="0.25">
      <c r="A1763" s="2" t="s">
        <v>5288</v>
      </c>
      <c r="B1763" s="2" t="s">
        <v>5289</v>
      </c>
      <c r="C1763" s="3" t="s">
        <v>5290</v>
      </c>
      <c r="D1763" s="3" t="str">
        <f ca="1">IFERROR(__xludf.DUMMYFUNCTION("GOOGLETRANSLATE(A1763,""fr"",""en"")"),"to hurry")</f>
        <v>to hurry</v>
      </c>
      <c r="E1763" s="3" t="str">
        <f ca="1">IFERROR(__xludf.DUMMYFUNCTION("GOOGLETRANSLATE(B1763,""fr"",""en"")"),"The manager wants to speed up the recruitment process.")</f>
        <v>The manager wants to speed up the recruitment process.</v>
      </c>
    </row>
    <row r="1764" spans="1:5" x14ac:dyDescent="0.25">
      <c r="A1764" s="2" t="s">
        <v>5291</v>
      </c>
      <c r="B1764" s="2" t="s">
        <v>5292</v>
      </c>
      <c r="C1764" s="3" t="s">
        <v>5293</v>
      </c>
      <c r="D1764" s="3" t="str">
        <f ca="1">IFERROR(__xludf.DUMMYFUNCTION("GOOGLETRANSLATE(A1764,""fr"",""en"")"),"invalidate")</f>
        <v>invalidate</v>
      </c>
      <c r="E1764" s="3" t="str">
        <f ca="1">IFERROR(__xludf.DUMMYFUNCTION("GOOGLETRANSLATE(B1764,""fr"",""en"")"),"This decision will invalidate the existing contract.")</f>
        <v>This decision will invalidate the existing contract.</v>
      </c>
    </row>
    <row r="1765" spans="1:5" x14ac:dyDescent="0.25">
      <c r="A1765" s="2" t="s">
        <v>5294</v>
      </c>
      <c r="B1765" s="2" t="s">
        <v>5295</v>
      </c>
      <c r="C1765" s="3" t="s">
        <v>5296</v>
      </c>
      <c r="D1765" s="3" t="str">
        <f ca="1">IFERROR(__xludf.DUMMYFUNCTION("GOOGLETRANSLATE(A1765,""fr"",""en"")"),"to second")</f>
        <v>to second</v>
      </c>
      <c r="E1765" s="3" t="str">
        <f ca="1">IFERROR(__xludf.DUMMYFUNCTION("GOOGLETRANSLATE(B1765,""fr"",""en"")"),"She assisted him in managing the company.")</f>
        <v>She assisted him in managing the company.</v>
      </c>
    </row>
    <row r="1766" spans="1:5" x14ac:dyDescent="0.25">
      <c r="A1766" s="2" t="s">
        <v>5297</v>
      </c>
      <c r="B1766" s="2" t="s">
        <v>5298</v>
      </c>
      <c r="C1766" s="3" t="s">
        <v>5299</v>
      </c>
      <c r="D1766" s="3" t="str">
        <f ca="1">IFERROR(__xludf.DUMMYFUNCTION("GOOGLETRANSLATE(A1766,""fr"",""en"")"),"add")</f>
        <v>add</v>
      </c>
      <c r="E1766" s="3" t="str">
        <f ca="1">IFERROR(__xludf.DUMMYFUNCTION("GOOGLETRANSLATE(B1766,""fr"",""en"")"),"To get the total, you must add all the values.")</f>
        <v>To get the total, you must add all the values.</v>
      </c>
    </row>
    <row r="1767" spans="1:5" x14ac:dyDescent="0.25">
      <c r="A1767" s="2" t="s">
        <v>5300</v>
      </c>
      <c r="B1767" s="2" t="s">
        <v>5301</v>
      </c>
      <c r="C1767" s="3" t="s">
        <v>5302</v>
      </c>
      <c r="D1767" s="3" t="str">
        <f ca="1">IFERROR(__xludf.DUMMYFUNCTION("GOOGLETRANSLATE(A1767,""fr"",""en"")"),"to blur")</f>
        <v>to blur</v>
      </c>
      <c r="E1767" s="3" t="str">
        <f ca="1">IFERROR(__xludf.DUMMYFUNCTION("GOOGLETRANSLATE(B1767,""fr"",""en"")"),"Fog will cloud visibility on the road.")</f>
        <v>Fog will cloud visibility on the road.</v>
      </c>
    </row>
    <row r="1768" spans="1:5" x14ac:dyDescent="0.25">
      <c r="A1768" s="2" t="s">
        <v>5303</v>
      </c>
      <c r="B1768" s="2" t="s">
        <v>5304</v>
      </c>
      <c r="C1768" s="3" t="s">
        <v>5305</v>
      </c>
      <c r="D1768" s="3" t="str">
        <f ca="1">IFERROR(__xludf.DUMMYFUNCTION("GOOGLETRANSLATE(A1768,""fr"",""en"")"),"to testify")</f>
        <v>to testify</v>
      </c>
      <c r="E1768" s="3" t="str">
        <f ca="1">IFERROR(__xludf.DUMMYFUNCTION("GOOGLETRANSLATE(B1768,""fr"",""en"")"),"He testified on behalf of his friend at the trial.")</f>
        <v>He testified on behalf of his friend at the trial.</v>
      </c>
    </row>
    <row r="1769" spans="1:5" x14ac:dyDescent="0.25">
      <c r="A1769" s="2" t="s">
        <v>5306</v>
      </c>
      <c r="B1769" s="2" t="s">
        <v>5307</v>
      </c>
      <c r="C1769" s="3" t="s">
        <v>5308</v>
      </c>
      <c r="D1769" s="3" t="str">
        <f ca="1">IFERROR(__xludf.DUMMYFUNCTION("GOOGLETRANSLATE(A1769,""fr"",""en"")"),"crawl")</f>
        <v>crawl</v>
      </c>
      <c r="E1769" s="3" t="str">
        <f ca="1">IFERROR(__xludf.DUMMYFUNCTION("GOOGLETRANSLATE(B1769,""fr"",""en"")"),"The snake crawls through the tall grass.")</f>
        <v>The snake crawls through the tall grass.</v>
      </c>
    </row>
    <row r="1770" spans="1:5" x14ac:dyDescent="0.25">
      <c r="A1770" s="2" t="s">
        <v>5309</v>
      </c>
      <c r="B1770" s="2" t="s">
        <v>5310</v>
      </c>
      <c r="C1770" s="3" t="s">
        <v>5311</v>
      </c>
      <c r="D1770" s="3" t="str">
        <f ca="1">IFERROR(__xludf.DUMMYFUNCTION("GOOGLETRANSLATE(A1770,""fr"",""en"")"),"stumble")</f>
        <v>stumble</v>
      </c>
      <c r="E1770" s="3" t="str">
        <f ca="1">IFERROR(__xludf.DUMMYFUNCTION("GOOGLETRANSLATE(B1770,""fr"",""en"")"),"He tripped on the step and fell.")</f>
        <v>He tripped on the step and fell.</v>
      </c>
    </row>
    <row r="1771" spans="1:5" x14ac:dyDescent="0.25">
      <c r="A1771" s="2" t="s">
        <v>5312</v>
      </c>
      <c r="B1771" s="2" t="s">
        <v>5313</v>
      </c>
      <c r="C1771" s="3" t="s">
        <v>5314</v>
      </c>
      <c r="D1771" s="3" t="str">
        <f ca="1">IFERROR(__xludf.DUMMYFUNCTION("GOOGLETRANSLATE(A1771,""fr"",""en"")"),"to emolument")</f>
        <v>to emolument</v>
      </c>
      <c r="E1771" s="3" t="str">
        <f ca="1">IFERROR(__xludf.DUMMYFUNCTION("GOOGLETRANSLATE(B1771,""fr"",""en"")"),"Employees are waiting for their monthly salary.")</f>
        <v>Employees are waiting for their monthly salary.</v>
      </c>
    </row>
    <row r="1772" spans="1:5" x14ac:dyDescent="0.25">
      <c r="A1772" s="2" t="s">
        <v>5315</v>
      </c>
      <c r="B1772" s="2" t="s">
        <v>5316</v>
      </c>
      <c r="C1772" s="3" t="s">
        <v>5317</v>
      </c>
      <c r="D1772" s="3" t="str">
        <f ca="1">IFERROR(__xludf.DUMMYFUNCTION("GOOGLETRANSLATE(A1772,""fr"",""en"")"),"rebuild")</f>
        <v>rebuild</v>
      </c>
      <c r="E1772" s="3" t="str">
        <f ca="1">IFERROR(__xludf.DUMMYFUNCTION("GOOGLETRANSLATE(B1772,""fr"",""en"")"),"They will rebuild their house after the fire.")</f>
        <v>They will rebuild their house after the fire.</v>
      </c>
    </row>
    <row r="1773" spans="1:5" x14ac:dyDescent="0.25">
      <c r="A1773" s="2" t="s">
        <v>5318</v>
      </c>
      <c r="B1773" s="2" t="s">
        <v>5319</v>
      </c>
      <c r="C1773" s="3" t="s">
        <v>5320</v>
      </c>
      <c r="D1773" s="3" t="str">
        <f ca="1">IFERROR(__xludf.DUMMYFUNCTION("GOOGLETRANSLATE(A1773,""fr"",""en"")"),"to deny")</f>
        <v>to deny</v>
      </c>
      <c r="E1773" s="3" t="str">
        <f ca="1">IFERROR(__xludf.DUMMYFUNCTION("GOOGLETRANSLATE(B1773,""fr"",""en"")"),"She renounced her old life to start a new one.")</f>
        <v>She renounced her old life to start a new one.</v>
      </c>
    </row>
    <row r="1774" spans="1:5" x14ac:dyDescent="0.25">
      <c r="A1774" s="2" t="s">
        <v>5321</v>
      </c>
      <c r="B1774" s="2" t="s">
        <v>5322</v>
      </c>
      <c r="C1774" s="3" t="s">
        <v>5323</v>
      </c>
      <c r="D1774" s="3" t="str">
        <f ca="1">IFERROR(__xludf.DUMMYFUNCTION("GOOGLETRANSLATE(A1774,""fr"",""en"")"),"condense")</f>
        <v>condense</v>
      </c>
      <c r="E1774" s="3" t="str">
        <f ca="1">IFERROR(__xludf.DUMMYFUNCTION("GOOGLETRANSLATE(B1774,""fr"",""en"")"),"The text must be condensed to fit the short format.")</f>
        <v>The text must be condensed to fit the short format.</v>
      </c>
    </row>
    <row r="1775" spans="1:5" x14ac:dyDescent="0.25">
      <c r="A1775" s="2" t="s">
        <v>5324</v>
      </c>
      <c r="B1775" s="2" t="s">
        <v>5325</v>
      </c>
      <c r="C1775" s="3" t="s">
        <v>5326</v>
      </c>
      <c r="D1775" s="3" t="str">
        <f ca="1">IFERROR(__xludf.DUMMYFUNCTION("GOOGLETRANSLATE(A1775,""fr"",""en"")"),"confine")</f>
        <v>confine</v>
      </c>
      <c r="E1775" s="3" t="str">
        <f ca="1">IFERROR(__xludf.DUMMYFUNCTION("GOOGLETRANSLATE(B1775,""fr"",""en"")"),"Residents must self-isolate during the outbreak.")</f>
        <v>Residents must self-isolate during the outbreak.</v>
      </c>
    </row>
    <row r="1776" spans="1:5" x14ac:dyDescent="0.25">
      <c r="A1776" s="2" t="s">
        <v>5327</v>
      </c>
      <c r="B1776" s="2" t="s">
        <v>5328</v>
      </c>
      <c r="C1776" s="3" t="s">
        <v>5329</v>
      </c>
      <c r="D1776" s="3" t="str">
        <f ca="1">IFERROR(__xludf.DUMMYFUNCTION("GOOGLETRANSLATE(A1776,""fr"",""en"")"),"whip")</f>
        <v>whip</v>
      </c>
      <c r="E1776" s="3" t="str">
        <f ca="1">IFERROR(__xludf.DUMMYFUNCTION("GOOGLETRANSLATE(B1776,""fr"",""en"")"),"You have to whip the cream to make whipped cream.")</f>
        <v>You have to whip the cream to make whipped cream.</v>
      </c>
    </row>
    <row r="1777" spans="1:5" x14ac:dyDescent="0.25">
      <c r="A1777" s="2" t="s">
        <v>5330</v>
      </c>
      <c r="B1777" s="2" t="s">
        <v>5331</v>
      </c>
      <c r="C1777" s="3" t="s">
        <v>5332</v>
      </c>
      <c r="D1777" s="3" t="str">
        <f ca="1">IFERROR(__xludf.DUMMYFUNCTION("GOOGLETRANSLATE(A1777,""fr"",""en"")"),"ride")</f>
        <v>ride</v>
      </c>
      <c r="E1777" s="3" t="str">
        <f ca="1">IFERROR(__xludf.DUMMYFUNCTION("GOOGLETRANSLATE(B1777,""fr"",""en"")"),"The knight will ride to the king's castle.")</f>
        <v>The knight will ride to the king's castle.</v>
      </c>
    </row>
    <row r="1778" spans="1:5" x14ac:dyDescent="0.25">
      <c r="A1778" s="2" t="s">
        <v>5333</v>
      </c>
      <c r="B1778" s="2" t="s">
        <v>5334</v>
      </c>
      <c r="C1778" s="3" t="s">
        <v>5335</v>
      </c>
      <c r="D1778" s="3" t="str">
        <f ca="1">IFERROR(__xludf.DUMMYFUNCTION("GOOGLETRANSLATE(A1778,""fr"",""en"")"),"democratize")</f>
        <v>democratize</v>
      </c>
      <c r="E1778" s="3" t="str">
        <f ca="1">IFERROR(__xludf.DUMMYFUNCTION("GOOGLETRANSLATE(B1778,""fr"",""en"")"),"This movement seeks to democratize access to education.")</f>
        <v>This movement seeks to democratize access to education.</v>
      </c>
    </row>
    <row r="1779" spans="1:5" x14ac:dyDescent="0.25">
      <c r="A1779" s="2" t="s">
        <v>5336</v>
      </c>
      <c r="B1779" s="2" t="s">
        <v>5337</v>
      </c>
      <c r="C1779" s="3" t="s">
        <v>5338</v>
      </c>
      <c r="D1779" s="3" t="str">
        <f ca="1">IFERROR(__xludf.DUMMYFUNCTION("GOOGLETRANSLATE(A1779,""fr"",""en"")"),"to beautify")</f>
        <v>to beautify</v>
      </c>
      <c r="E1779" s="3" t="str">
        <f ca="1">IFERROR(__xludf.DUMMYFUNCTION("GOOGLETRANSLATE(B1779,""fr"",""en"")"),"Flowers will beautify the garden in spring.")</f>
        <v>Flowers will beautify the garden in spring.</v>
      </c>
    </row>
    <row r="1780" spans="1:5" x14ac:dyDescent="0.25">
      <c r="A1780" s="2" t="s">
        <v>5339</v>
      </c>
      <c r="B1780" s="2" t="s">
        <v>5340</v>
      </c>
      <c r="C1780" s="3" t="s">
        <v>5341</v>
      </c>
      <c r="D1780" s="3" t="str">
        <f ca="1">IFERROR(__xludf.DUMMYFUNCTION("GOOGLETRANSLATE(A1780,""fr"",""en"")"),"preheat")</f>
        <v>preheat</v>
      </c>
      <c r="E1780" s="3" t="str">
        <f ca="1">IFERROR(__xludf.DUMMYFUNCTION("GOOGLETRANSLATE(B1780,""fr"",""en"")"),"Before cooking, you must preheat the oven.")</f>
        <v>Before cooking, you must preheat the oven.</v>
      </c>
    </row>
    <row r="1781" spans="1:5" x14ac:dyDescent="0.25">
      <c r="A1781" s="2" t="s">
        <v>5342</v>
      </c>
      <c r="B1781" s="2" t="s">
        <v>5343</v>
      </c>
      <c r="C1781" s="3" t="s">
        <v>5344</v>
      </c>
      <c r="D1781" s="3" t="str">
        <f ca="1">IFERROR(__xludf.DUMMYFUNCTION("GOOGLETRANSLATE(A1781,""fr"",""en"")"),"drain")</f>
        <v>drain</v>
      </c>
      <c r="E1781" s="3" t="str">
        <f ca="1">IFERROR(__xludf.DUMMYFUNCTION("GOOGLETRANSLATE(B1781,""fr"",""en"")"),"The sewer system allows wastewater to be drained.")</f>
        <v>The sewer system allows wastewater to be drained.</v>
      </c>
    </row>
    <row r="1782" spans="1:5" x14ac:dyDescent="0.25">
      <c r="A1782" s="2" t="s">
        <v>5345</v>
      </c>
      <c r="B1782" s="2" t="s">
        <v>5346</v>
      </c>
      <c r="C1782" s="3" t="s">
        <v>5347</v>
      </c>
      <c r="D1782" s="3" t="str">
        <f ca="1">IFERROR(__xludf.DUMMYFUNCTION("GOOGLETRANSLATE(A1782,""fr"",""en"")"),"strengthen")</f>
        <v>strengthen</v>
      </c>
      <c r="E1782" s="3" t="str">
        <f ca="1">IFERROR(__xludf.DUMMYFUNCTION("GOOGLETRANSLATE(B1782,""fr"",""en"")"),"A balanced diet helps strengthen the body.")</f>
        <v>A balanced diet helps strengthen the body.</v>
      </c>
    </row>
    <row r="1783" spans="1:5" x14ac:dyDescent="0.25">
      <c r="A1783" s="2" t="s">
        <v>5348</v>
      </c>
      <c r="B1783" s="2" t="s">
        <v>5349</v>
      </c>
      <c r="C1783" s="3" t="s">
        <v>5350</v>
      </c>
      <c r="D1783" s="3" t="str">
        <f ca="1">IFERROR(__xludf.DUMMYFUNCTION("GOOGLETRANSLATE(A1783,""fr"",""en"")"),"deliberate")</f>
        <v>deliberate</v>
      </c>
      <c r="E1783" s="3" t="str">
        <f ca="1">IFERROR(__xludf.DUMMYFUNCTION("GOOGLETRANSLATE(B1783,""fr"",""en"")"),"The judges will deliberate on the final verdict.")</f>
        <v>The judges will deliberate on the final verdict.</v>
      </c>
    </row>
    <row r="1784" spans="1:5" x14ac:dyDescent="0.25">
      <c r="A1784" s="2" t="s">
        <v>5351</v>
      </c>
      <c r="B1784" s="2" t="s">
        <v>5352</v>
      </c>
      <c r="C1784" s="3" t="s">
        <v>5353</v>
      </c>
      <c r="D1784" s="3" t="str">
        <f ca="1">IFERROR(__xludf.DUMMYFUNCTION("GOOGLETRANSLATE(A1784,""fr"",""en"")"),"lick")</f>
        <v>lick</v>
      </c>
      <c r="E1784" s="3" t="str">
        <f ca="1">IFERROR(__xludf.DUMMYFUNCTION("GOOGLETRANSLATE(B1784,""fr"",""en"")"),"The dog likes to lick his master's face.")</f>
        <v>The dog likes to lick his master's face.</v>
      </c>
    </row>
    <row r="1785" spans="1:5" x14ac:dyDescent="0.25">
      <c r="A1785" s="2" t="s">
        <v>5354</v>
      </c>
      <c r="B1785" s="2" t="s">
        <v>5355</v>
      </c>
      <c r="C1785" s="3" t="s">
        <v>5356</v>
      </c>
      <c r="D1785" s="3" t="str">
        <f ca="1">IFERROR(__xludf.DUMMYFUNCTION("GOOGLETRANSLATE(A1785,""fr"",""en"")"),"bless")</f>
        <v>bless</v>
      </c>
      <c r="E1785" s="3" t="str">
        <f ca="1">IFERROR(__xludf.DUMMYFUNCTION("GOOGLETRANSLATE(B1785,""fr"",""en"")"),"The priest is ready to bless the marriage.")</f>
        <v>The priest is ready to bless the marriage.</v>
      </c>
    </row>
    <row r="1786" spans="1:5" x14ac:dyDescent="0.25">
      <c r="A1786" s="2" t="s">
        <v>5357</v>
      </c>
      <c r="B1786" s="2" t="s">
        <v>5358</v>
      </c>
      <c r="C1786" s="3" t="s">
        <v>5359</v>
      </c>
      <c r="D1786" s="3" t="str">
        <f ca="1">IFERROR(__xludf.DUMMYFUNCTION("GOOGLETRANSLATE(A1786,""fr"",""en"")"),"to style")</f>
        <v>to style</v>
      </c>
      <c r="E1786" s="3" t="str">
        <f ca="1">IFERROR(__xludf.DUMMYFUNCTION("GOOGLETRANSLATE(B1786,""fr"",""en"")"),"She's going to style her hair for the evening.")</f>
        <v>She's going to style her hair for the evening.</v>
      </c>
    </row>
    <row r="1787" spans="1:5" x14ac:dyDescent="0.25">
      <c r="A1787" s="2" t="s">
        <v>5360</v>
      </c>
      <c r="B1787" s="2" t="s">
        <v>5361</v>
      </c>
      <c r="C1787" s="3" t="s">
        <v>5362</v>
      </c>
      <c r="D1787" s="3" t="str">
        <f ca="1">IFERROR(__xludf.DUMMYFUNCTION("GOOGLETRANSLATE(A1787,""fr"",""en"")"),"to elude")</f>
        <v>to elude</v>
      </c>
      <c r="E1787" s="3" t="str">
        <f ca="1">IFERROR(__xludf.DUMMYFUNCTION("GOOGLETRANSLATE(B1787,""fr"",""en"")"),"He tried to avoid difficult questions during the interview.")</f>
        <v>He tried to avoid difficult questions during the interview.</v>
      </c>
    </row>
    <row r="1788" spans="1:5" x14ac:dyDescent="0.25">
      <c r="A1788" s="2" t="s">
        <v>5363</v>
      </c>
      <c r="B1788" s="2" t="s">
        <v>5364</v>
      </c>
      <c r="C1788" s="3" t="s">
        <v>5365</v>
      </c>
      <c r="D1788" s="3" t="str">
        <f ca="1">IFERROR(__xludf.DUMMYFUNCTION("GOOGLETRANSLATE(A1788,""fr"",""en"")"),"to caress")</f>
        <v>to caress</v>
      </c>
      <c r="E1788" s="3" t="str">
        <f ca="1">IFERROR(__xludf.DUMMYFUNCTION("GOOGLETRANSLATE(B1788,""fr"",""en"")"),"He likes to pet his dog during walks.")</f>
        <v>He likes to pet his dog during walks.</v>
      </c>
    </row>
    <row r="1789" spans="1:5" x14ac:dyDescent="0.25">
      <c r="A1789" s="2" t="s">
        <v>5366</v>
      </c>
      <c r="B1789" s="2" t="s">
        <v>5367</v>
      </c>
      <c r="C1789" s="3" t="s">
        <v>5368</v>
      </c>
      <c r="D1789" s="3" t="str">
        <f ca="1">IFERROR(__xludf.DUMMYFUNCTION("GOOGLETRANSLATE(A1789,""fr"",""en"")"),"make profitable")</f>
        <v>make profitable</v>
      </c>
      <c r="E1789" s="3" t="str">
        <f ca="1">IFERROR(__xludf.DUMMYFUNCTION("GOOGLETRANSLATE(B1789,""fr"",""en"")"),"The company is looking to make its investments profitable.")</f>
        <v>The company is looking to make its investments profitable.</v>
      </c>
    </row>
    <row r="1790" spans="1:5" x14ac:dyDescent="0.25">
      <c r="A1790" s="2" t="s">
        <v>5369</v>
      </c>
      <c r="B1790" s="2" t="s">
        <v>5370</v>
      </c>
      <c r="C1790" s="3" t="s">
        <v>5371</v>
      </c>
      <c r="D1790" s="3" t="str">
        <f ca="1">IFERROR(__xludf.DUMMYFUNCTION("GOOGLETRANSLATE(A1790,""fr"",""en"")"),"reconquer")</f>
        <v>reconquer</v>
      </c>
      <c r="E1790" s="3" t="str">
        <f ca="1">IFERROR(__xludf.DUMMYFUNCTION("GOOGLETRANSLATE(B1790,""fr"",""en"")"),"The king managed to reconquer his kingdom after the war.")</f>
        <v>The king managed to reconquer his kingdom after the war.</v>
      </c>
    </row>
    <row r="1791" spans="1:5" x14ac:dyDescent="0.25">
      <c r="A1791" s="2" t="s">
        <v>5372</v>
      </c>
      <c r="B1791" s="2" t="s">
        <v>5373</v>
      </c>
      <c r="C1791" s="3" t="s">
        <v>5374</v>
      </c>
      <c r="D1791" s="3" t="str">
        <f ca="1">IFERROR(__xludf.DUMMYFUNCTION("GOOGLETRANSLATE(A1791,""fr"",""en"")"),"polymerize")</f>
        <v>polymerize</v>
      </c>
      <c r="E1791" s="3" t="str">
        <f ca="1">IFERROR(__xludf.DUMMYFUNCTION("GOOGLETRANSLATE(B1791,""fr"",""en"")"),"This plastic can polymerize at high temperatures.")</f>
        <v>This plastic can polymerize at high temperatures.</v>
      </c>
    </row>
    <row r="1792" spans="1:5" x14ac:dyDescent="0.25">
      <c r="A1792" s="2" t="s">
        <v>5375</v>
      </c>
      <c r="B1792" s="2" t="s">
        <v>5376</v>
      </c>
      <c r="C1792" s="3" t="s">
        <v>5377</v>
      </c>
      <c r="D1792" s="3" t="str">
        <f ca="1">IFERROR(__xludf.DUMMYFUNCTION("GOOGLETRANSLATE(A1792,""fr"",""en"")"),"to grind")</f>
        <v>to grind</v>
      </c>
      <c r="E1792" s="3" t="str">
        <f ca="1">IFERROR(__xludf.DUMMYFUNCTION("GOOGLETRANSLATE(B1792,""fr"",""en"")"),"The chef will blend the vegetables to prepare the soup.")</f>
        <v>The chef will blend the vegetables to prepare the soup.</v>
      </c>
    </row>
    <row r="1793" spans="1:5" x14ac:dyDescent="0.25">
      <c r="A1793" s="2" t="s">
        <v>5378</v>
      </c>
      <c r="B1793" s="2" t="s">
        <v>5379</v>
      </c>
      <c r="C1793" s="3" t="s">
        <v>5380</v>
      </c>
      <c r="D1793" s="3" t="str">
        <f ca="1">IFERROR(__xludf.DUMMYFUNCTION("GOOGLETRANSLATE(A1793,""fr"",""en"")"),"to gerber")</f>
        <v>to gerber</v>
      </c>
      <c r="E1793" s="3" t="str">
        <f ca="1">IFERROR(__xludf.DUMMYFUNCTION("GOOGLETRANSLATE(B1793,""fr"",""en"")"),"He drank too much and ended up throwing up in the toilet.")</f>
        <v>He drank too much and ended up throwing up in the toilet.</v>
      </c>
    </row>
    <row r="1794" spans="1:5" x14ac:dyDescent="0.25">
      <c r="A1794" s="2" t="s">
        <v>5381</v>
      </c>
      <c r="B1794" s="2" t="s">
        <v>5382</v>
      </c>
      <c r="C1794" s="3" t="s">
        <v>5383</v>
      </c>
      <c r="D1794" s="3" t="str">
        <f ca="1">IFERROR(__xludf.DUMMYFUNCTION("GOOGLETRANSLATE(A1794,""fr"",""en"")"),"precede")</f>
        <v>precede</v>
      </c>
      <c r="E1794" s="3" t="str">
        <f ca="1">IFERROR(__xludf.DUMMYFUNCTION("GOOGLETRANSLATE(B1794,""fr"",""en"")"),"Dessert should be preceded by a light starter.")</f>
        <v>Dessert should be preceded by a light starter.</v>
      </c>
    </row>
    <row r="1795" spans="1:5" x14ac:dyDescent="0.25">
      <c r="A1795" s="2" t="s">
        <v>5384</v>
      </c>
      <c r="B1795" s="2" t="s">
        <v>5385</v>
      </c>
      <c r="C1795" s="3" t="s">
        <v>5386</v>
      </c>
      <c r="D1795" s="3" t="str">
        <f ca="1">IFERROR(__xludf.DUMMYFUNCTION("GOOGLETRANSLATE(A1795,""fr"",""en"")"),"wander")</f>
        <v>wander</v>
      </c>
      <c r="E1795" s="3" t="str">
        <f ca="1">IFERROR(__xludf.DUMMYFUNCTION("GOOGLETRANSLATE(B1795,""fr"",""en"")"),"He tends to wander the streets at night.")</f>
        <v>He tends to wander the streets at night.</v>
      </c>
    </row>
    <row r="1796" spans="1:5" x14ac:dyDescent="0.25">
      <c r="A1796" s="2" t="s">
        <v>5387</v>
      </c>
      <c r="B1796" s="2" t="s">
        <v>5388</v>
      </c>
      <c r="C1796" s="3" t="s">
        <v>5389</v>
      </c>
      <c r="D1796" s="3" t="str">
        <f ca="1">IFERROR(__xludf.DUMMYFUNCTION("GOOGLETRANSLATE(A1796,""fr"",""en"")"),"speculate")</f>
        <v>speculate</v>
      </c>
      <c r="E1796" s="3" t="str">
        <f ca="1">IFERROR(__xludf.DUMMYFUNCTION("GOOGLETRANSLATE(B1796,""fr"",""en"")"),"Economists will speculate on the future of the economy.")</f>
        <v>Economists will speculate on the future of the economy.</v>
      </c>
    </row>
    <row r="1797" spans="1:5" x14ac:dyDescent="0.25">
      <c r="A1797" s="2" t="s">
        <v>5390</v>
      </c>
      <c r="B1797" s="2" t="s">
        <v>5391</v>
      </c>
      <c r="C1797" s="3" t="s">
        <v>5392</v>
      </c>
      <c r="D1797" s="3" t="str">
        <f ca="1">IFERROR(__xludf.DUMMYFUNCTION("GOOGLETRANSLATE(A1797,""fr"",""en"")"),"deteriorate")</f>
        <v>deteriorate</v>
      </c>
      <c r="E1797" s="3" t="str">
        <f ca="1">IFERROR(__xludf.DUMMYFUNCTION("GOOGLETRANSLATE(B1797,""fr"",""en"")"),"Time eventually deteriorated the old building.")</f>
        <v>Time eventually deteriorated the old building.</v>
      </c>
    </row>
    <row r="1798" spans="1:5" x14ac:dyDescent="0.25">
      <c r="A1798" s="2" t="s">
        <v>5393</v>
      </c>
      <c r="B1798" s="2" t="s">
        <v>5394</v>
      </c>
      <c r="C1798" s="3" t="s">
        <v>5395</v>
      </c>
      <c r="D1798" s="3" t="str">
        <f ca="1">IFERROR(__xludf.DUMMYFUNCTION("GOOGLETRANSLATE(A1798,""fr"",""en"")"),"to add")</f>
        <v>to add</v>
      </c>
      <c r="E1798" s="3" t="str">
        <f ca="1">IFERROR(__xludf.DUMMYFUNCTION("GOOGLETRANSLATE(B1798,""fr"",""en"")"),"He decided to add a new section to the report.")</f>
        <v>He decided to add a new section to the report.</v>
      </c>
    </row>
    <row r="1799" spans="1:5" x14ac:dyDescent="0.25">
      <c r="A1799" s="2" t="s">
        <v>5396</v>
      </c>
      <c r="B1799" s="2" t="s">
        <v>5397</v>
      </c>
      <c r="C1799" s="3" t="s">
        <v>5398</v>
      </c>
      <c r="D1799" s="3" t="str">
        <f ca="1">IFERROR(__xludf.DUMMYFUNCTION("GOOGLETRANSLATE(A1799,""fr"",""en"")"),"annex")</f>
        <v>annex</v>
      </c>
      <c r="E1799" s="3" t="str">
        <f ca="1">IFERROR(__xludf.DUMMYFUNCTION("GOOGLETRANSLATE(B1799,""fr"",""en"")"),"They will annex part of the land for the extension.")</f>
        <v>They will annex part of the land for the extension.</v>
      </c>
    </row>
    <row r="1800" spans="1:5" x14ac:dyDescent="0.25">
      <c r="A1800" s="2" t="s">
        <v>5399</v>
      </c>
      <c r="B1800" s="2" t="s">
        <v>5400</v>
      </c>
      <c r="C1800" s="3" t="s">
        <v>5401</v>
      </c>
      <c r="D1800" s="3" t="str">
        <f ca="1">IFERROR(__xludf.DUMMYFUNCTION("GOOGLETRANSLATE(A1800,""fr"",""en"")"),"chloroform")</f>
        <v>chloroform</v>
      </c>
      <c r="E1800" s="3" t="str">
        <f ca="1">IFERROR(__xludf.DUMMYFUNCTION("GOOGLETRANSLATE(B1800,""fr"",""en"")"),"The criminal attempted to chloroform his victim to put him to sleep.")</f>
        <v>The criminal attempted to chloroform his victim to put him to sleep.</v>
      </c>
    </row>
    <row r="1801" spans="1:5" x14ac:dyDescent="0.25">
      <c r="A1801" s="2" t="s">
        <v>5402</v>
      </c>
      <c r="B1801" s="2" t="s">
        <v>5403</v>
      </c>
      <c r="C1801" s="3" t="s">
        <v>5404</v>
      </c>
      <c r="D1801" s="3" t="str">
        <f ca="1">IFERROR(__xludf.DUMMYFUNCTION("GOOGLETRANSLATE(A1801,""fr"",""en"")"),"reposition")</f>
        <v>reposition</v>
      </c>
      <c r="E1801" s="3" t="str">
        <f ca="1">IFERROR(__xludf.DUMMYFUNCTION("GOOGLETRANSLATE(B1801,""fr"",""en"")"),"Furniture needs to be repositioned to optimize space.")</f>
        <v>Furniture needs to be repositioned to optimize space.</v>
      </c>
    </row>
    <row r="1802" spans="1:5" x14ac:dyDescent="0.25">
      <c r="A1802" s="2" t="s">
        <v>5405</v>
      </c>
      <c r="B1802" s="2" t="s">
        <v>5406</v>
      </c>
      <c r="C1802" s="3" t="s">
        <v>5407</v>
      </c>
      <c r="D1802" s="3" t="str">
        <f ca="1">IFERROR(__xludf.DUMMYFUNCTION("GOOGLETRANSLATE(A1802,""fr"",""en"")"),"to beat up")</f>
        <v>to beat up</v>
      </c>
      <c r="E1802" s="3" t="str">
        <f ca="1">IFERROR(__xludf.DUMMYFUNCTION("GOOGLETRANSLATE(B1802,""fr"",""en"")"),"He was beaten up by strangers in the street.")</f>
        <v>He was beaten up by strangers in the street.</v>
      </c>
    </row>
    <row r="1803" spans="1:5" x14ac:dyDescent="0.25">
      <c r="A1803" s="2" t="s">
        <v>5408</v>
      </c>
      <c r="B1803" s="2" t="s">
        <v>5409</v>
      </c>
      <c r="C1803" s="3" t="s">
        <v>5410</v>
      </c>
      <c r="D1803" s="3" t="str">
        <f ca="1">IFERROR(__xludf.DUMMYFUNCTION("GOOGLETRANSLATE(A1803,""fr"",""en"")"),"to retaliate")</f>
        <v>to retaliate</v>
      </c>
      <c r="E1803" s="3" t="str">
        <f ca="1">IFERROR(__xludf.DUMMYFUNCTION("GOOGLETRANSLATE(B1803,""fr"",""en"")"),"Faced with criticism, she responded firmly.")</f>
        <v>Faced with criticism, she responded firmly.</v>
      </c>
    </row>
    <row r="1804" spans="1:5" x14ac:dyDescent="0.25">
      <c r="A1804" s="2" t="s">
        <v>5411</v>
      </c>
      <c r="B1804" s="2" t="s">
        <v>5412</v>
      </c>
      <c r="C1804" s="3" t="s">
        <v>5413</v>
      </c>
      <c r="D1804" s="3" t="str">
        <f ca="1">IFERROR(__xludf.DUMMYFUNCTION("GOOGLETRANSLATE(A1804,""fr"",""en"")"),"to stir up")</f>
        <v>to stir up</v>
      </c>
      <c r="E1804" s="3" t="str">
        <f ca="1">IFERROR(__xludf.DUMMYFUNCTION("GOOGLETRANSLATE(B1804,""fr"",""en"")"),"The rumors have fueled anger among residents.")</f>
        <v>The rumors have fueled anger among residents.</v>
      </c>
    </row>
    <row r="1805" spans="1:5" x14ac:dyDescent="0.25">
      <c r="A1805" s="2" t="s">
        <v>5414</v>
      </c>
      <c r="B1805" s="2" t="s">
        <v>5415</v>
      </c>
      <c r="C1805" s="3" t="s">
        <v>5416</v>
      </c>
      <c r="D1805" s="3" t="str">
        <f ca="1">IFERROR(__xludf.DUMMYFUNCTION("GOOGLETRANSLATE(A1805,""fr"",""en"")"),"to make")</f>
        <v>to make</v>
      </c>
      <c r="E1805" s="3" t="str">
        <f ca="1">IFERROR(__xludf.DUMMYFUNCTION("GOOGLETRANSLATE(B1805,""fr"",""en"")"),"She is good at making cakes for special occasions.")</f>
        <v>She is good at making cakes for special occasions.</v>
      </c>
    </row>
    <row r="1806" spans="1:5" x14ac:dyDescent="0.25">
      <c r="A1806" s="2" t="s">
        <v>5417</v>
      </c>
      <c r="B1806" s="2" t="s">
        <v>5418</v>
      </c>
      <c r="C1806" s="3" t="s">
        <v>5419</v>
      </c>
      <c r="D1806" s="3" t="str">
        <f ca="1">IFERROR(__xludf.DUMMYFUNCTION("GOOGLETRANSLATE(A1806,""fr"",""en"")"),"moderate")</f>
        <v>moderate</v>
      </c>
      <c r="E1806" s="3" t="str">
        <f ca="1">IFERROR(__xludf.DUMMYFUNCTION("GOOGLETRANSLATE(B1806,""fr"",""en"")"),"You have to moderate your words to avoid conflicts.")</f>
        <v>You have to moderate your words to avoid conflicts.</v>
      </c>
    </row>
    <row r="1807" spans="1:5" x14ac:dyDescent="0.25">
      <c r="A1807" s="2" t="s">
        <v>5420</v>
      </c>
      <c r="B1807" s="2" t="s">
        <v>5421</v>
      </c>
      <c r="C1807" s="3" t="s">
        <v>5422</v>
      </c>
      <c r="D1807" s="3" t="str">
        <f ca="1">IFERROR(__xludf.DUMMYFUNCTION("GOOGLETRANSLATE(A1807,""fr"",""en"")"),"arrange")</f>
        <v>arrange</v>
      </c>
      <c r="E1807" s="3" t="str">
        <f ca="1">IFERROR(__xludf.DUMMYFUNCTION("GOOGLETRANSLATE(B1807,""fr"",""en"")"),"They arranged the furniture in a modern style.")</f>
        <v>They arranged the furniture in a modern style.</v>
      </c>
    </row>
    <row r="1808" spans="1:5" x14ac:dyDescent="0.25">
      <c r="A1808" s="2" t="s">
        <v>5423</v>
      </c>
      <c r="B1808" s="2" t="s">
        <v>5424</v>
      </c>
      <c r="C1808" s="3" t="s">
        <v>5425</v>
      </c>
      <c r="D1808" s="3" t="str">
        <f ca="1">IFERROR(__xludf.DUMMYFUNCTION("GOOGLETRANSLATE(A1808,""fr"",""en"")"),"date")</f>
        <v>date</v>
      </c>
      <c r="E1808" s="3" t="str">
        <f ca="1">IFERROR(__xludf.DUMMYFUNCTION("GOOGLETRANSLATE(B1808,""fr"",""en"")"),"This coin dates from the Roman period.")</f>
        <v>This coin dates from the Roman period.</v>
      </c>
    </row>
    <row r="1809" spans="1:5" x14ac:dyDescent="0.25">
      <c r="A1809" s="2" t="s">
        <v>5426</v>
      </c>
      <c r="B1809" s="2" t="s">
        <v>5427</v>
      </c>
      <c r="C1809" s="3" t="s">
        <v>5428</v>
      </c>
      <c r="D1809" s="3" t="str">
        <f ca="1">IFERROR(__xludf.DUMMYFUNCTION("GOOGLETRANSLATE(A1809,""fr"",""en"")"),"exterminate")</f>
        <v>exterminate</v>
      </c>
      <c r="E1809" s="3" t="str">
        <f ca="1">IFERROR(__xludf.DUMMYFUNCTION("GOOGLETRANSLATE(B1809,""fr"",""en"")"),"Insecticides are used to exterminate pests.")</f>
        <v>Insecticides are used to exterminate pests.</v>
      </c>
    </row>
    <row r="1810" spans="1:5" x14ac:dyDescent="0.25">
      <c r="A1810" s="2" t="s">
        <v>5429</v>
      </c>
      <c r="B1810" s="2" t="s">
        <v>5430</v>
      </c>
      <c r="C1810" s="3" t="s">
        <v>5431</v>
      </c>
      <c r="D1810" s="3" t="str">
        <f ca="1">IFERROR(__xludf.DUMMYFUNCTION("GOOGLETRANSLATE(A1810,""fr"",""en"")"),"to unearth")</f>
        <v>to unearth</v>
      </c>
      <c r="E1810" s="3" t="str">
        <f ca="1">IFERROR(__xludf.DUMMYFUNCTION("GOOGLETRANSLATE(B1810,""fr"",""en"")"),"She managed to find the ideal apartment in the city center.")</f>
        <v>She managed to find the ideal apartment in the city center.</v>
      </c>
    </row>
    <row r="1811" spans="1:5" x14ac:dyDescent="0.25">
      <c r="A1811" s="2" t="s">
        <v>5432</v>
      </c>
      <c r="B1811" s="2" t="s">
        <v>5433</v>
      </c>
      <c r="C1811" s="3" t="s">
        <v>5434</v>
      </c>
      <c r="D1811" s="3" t="str">
        <f ca="1">IFERROR(__xludf.DUMMYFUNCTION("GOOGLETRANSLATE(A1811,""fr"",""en"")"),"to get ahead")</f>
        <v>to get ahead</v>
      </c>
      <c r="E1811" s="3" t="str">
        <f ca="1">IFERROR(__xludf.DUMMYFUNCTION("GOOGLETRANSLATE(B1811,""fr"",""en"")"),"He was able to get ahead of his competitors thanks to his hard work.")</f>
        <v>He was able to get ahead of his competitors thanks to his hard work.</v>
      </c>
    </row>
    <row r="1812" spans="1:5" x14ac:dyDescent="0.25">
      <c r="A1812" s="2" t="s">
        <v>5435</v>
      </c>
      <c r="B1812" s="2" t="s">
        <v>5436</v>
      </c>
      <c r="C1812" s="3" t="s">
        <v>5437</v>
      </c>
      <c r="D1812" s="3" t="str">
        <f ca="1">IFERROR(__xludf.DUMMYFUNCTION("GOOGLETRANSLATE(A1812,""fr"",""en"")"),"triumph")</f>
        <v>triumph</v>
      </c>
      <c r="E1812" s="3" t="str">
        <f ca="1">IFERROR(__xludf.DUMMYFUNCTION("GOOGLETRANSLATE(B1812,""fr"",""en"")"),"After years of effort, he finally triumphed in his sport.")</f>
        <v>After years of effort, he finally triumphed in his sport.</v>
      </c>
    </row>
    <row r="1813" spans="1:5" x14ac:dyDescent="0.25">
      <c r="A1813" s="2" t="s">
        <v>5438</v>
      </c>
      <c r="B1813" s="2" t="s">
        <v>5439</v>
      </c>
      <c r="C1813" s="3" t="s">
        <v>5440</v>
      </c>
      <c r="D1813" s="3" t="str">
        <f ca="1">IFERROR(__xludf.DUMMYFUNCTION("GOOGLETRANSLATE(A1813,""fr"",""en"")"),"marinate")</f>
        <v>marinate</v>
      </c>
      <c r="E1813" s="3" t="str">
        <f ca="1">IFERROR(__xludf.DUMMYFUNCTION("GOOGLETRANSLATE(B1813,""fr"",""en"")"),"Meats should marinate in spices before cooking.")</f>
        <v>Meats should marinate in spices before cooking.</v>
      </c>
    </row>
    <row r="1814" spans="1:5" x14ac:dyDescent="0.25">
      <c r="A1814" s="2" t="s">
        <v>5441</v>
      </c>
      <c r="B1814" s="2" t="s">
        <v>5442</v>
      </c>
      <c r="C1814" s="3" t="s">
        <v>5443</v>
      </c>
      <c r="D1814" s="3" t="str">
        <f ca="1">IFERROR(__xludf.DUMMYFUNCTION("GOOGLETRANSLATE(A1814,""fr"",""en"")"),"refine")</f>
        <v>refine</v>
      </c>
      <c r="E1814" s="3" t="str">
        <f ca="1">IFERROR(__xludf.DUMMYFUNCTION("GOOGLETRANSLATE(B1814,""fr"",""en"")"),"This process is used to refine crude oil.")</f>
        <v>This process is used to refine crude oil.</v>
      </c>
    </row>
    <row r="1815" spans="1:5" x14ac:dyDescent="0.25">
      <c r="A1815" s="2" t="s">
        <v>5444</v>
      </c>
      <c r="B1815" s="2" t="s">
        <v>5445</v>
      </c>
      <c r="C1815" s="3" t="s">
        <v>5446</v>
      </c>
      <c r="D1815" s="3" t="str">
        <f ca="1">IFERROR(__xludf.DUMMYFUNCTION("GOOGLETRANSLATE(A1815,""fr"",""en"")"),"to abort")</f>
        <v>to abort</v>
      </c>
      <c r="E1815" s="3" t="str">
        <f ca="1">IFERROR(__xludf.DUMMYFUNCTION("GOOGLETRANSLATE(B1815,""fr"",""en"")"),"She chose to have an abortion for personal reasons.")</f>
        <v>She chose to have an abortion for personal reasons.</v>
      </c>
    </row>
    <row r="1816" spans="1:5" x14ac:dyDescent="0.25">
      <c r="A1816" s="2" t="s">
        <v>5447</v>
      </c>
      <c r="B1816" s="2" t="s">
        <v>5448</v>
      </c>
      <c r="C1816" s="3" t="s">
        <v>5449</v>
      </c>
      <c r="D1816" s="3" t="str">
        <f ca="1">IFERROR(__xludf.DUMMYFUNCTION("GOOGLETRANSLATE(A1816,""fr"",""en"")"),"to repress")</f>
        <v>to repress</v>
      </c>
      <c r="E1816" s="3" t="str">
        <f ca="1">IFERROR(__xludf.DUMMYFUNCTION("GOOGLETRANSLATE(B1816,""fr"",""en"")"),"Police pushed the protesters away from the building.")</f>
        <v>Police pushed the protesters away from the building.</v>
      </c>
    </row>
    <row r="1817" spans="1:5" x14ac:dyDescent="0.25">
      <c r="A1817" s="2" t="s">
        <v>5450</v>
      </c>
      <c r="B1817" s="2" t="s">
        <v>5451</v>
      </c>
      <c r="C1817" s="3" t="s">
        <v>5452</v>
      </c>
      <c r="D1817" s="3" t="str">
        <f ca="1">IFERROR(__xludf.DUMMYFUNCTION("GOOGLETRANSLATE(A1817,""fr"",""en"")"),"tanize")</f>
        <v>tanize</v>
      </c>
      <c r="E1817" s="3" t="str">
        <f ca="1">IFERROR(__xludf.DUMMYFUNCTION("GOOGLETRANSLATE(B1817,""fr"",""en"")"),"Leather needs to be tanned to make it more supple.")</f>
        <v>Leather needs to be tanned to make it more supple.</v>
      </c>
    </row>
    <row r="1818" spans="1:5" x14ac:dyDescent="0.25">
      <c r="A1818" s="2" t="s">
        <v>5453</v>
      </c>
      <c r="B1818" s="2" t="s">
        <v>5454</v>
      </c>
      <c r="C1818" s="3" t="s">
        <v>5455</v>
      </c>
      <c r="D1818" s="3" t="str">
        <f ca="1">IFERROR(__xludf.DUMMYFUNCTION("GOOGLETRANSLATE(A1818,""fr"",""en"")"),"to strengthen")</f>
        <v>to strengthen</v>
      </c>
      <c r="E1818" s="3" t="str">
        <f ca="1">IFERROR(__xludf.DUMMYFUNCTION("GOOGLETRANSLATE(B1818,""fr"",""en"")"),"Exercising regularly can strengthen muscles.")</f>
        <v>Exercising regularly can strengthen muscles.</v>
      </c>
    </row>
    <row r="1819" spans="1:5" x14ac:dyDescent="0.25">
      <c r="A1819" s="2" t="s">
        <v>5456</v>
      </c>
      <c r="B1819" s="2" t="s">
        <v>5457</v>
      </c>
      <c r="C1819" s="3" t="s">
        <v>5458</v>
      </c>
      <c r="D1819" s="3" t="str">
        <f ca="1">IFERROR(__xludf.DUMMYFUNCTION("GOOGLETRANSLATE(A1819,""fr"",""en"")"),"season")</f>
        <v>season</v>
      </c>
      <c r="E1819" s="3" t="str">
        <f ca="1">IFERROR(__xludf.DUMMYFUNCTION("GOOGLETRANSLATE(B1819,""fr"",""en"")"),"He likes to season his dishes with fresh herbs.")</f>
        <v>He likes to season his dishes with fresh herbs.</v>
      </c>
    </row>
    <row r="1820" spans="1:5" x14ac:dyDescent="0.25">
      <c r="A1820" s="2" t="s">
        <v>5459</v>
      </c>
      <c r="B1820" s="2" t="s">
        <v>5460</v>
      </c>
      <c r="C1820" s="3" t="s">
        <v>5461</v>
      </c>
      <c r="D1820" s="3" t="str">
        <f ca="1">IFERROR(__xludf.DUMMYFUNCTION("GOOGLETRANSLATE(A1820,""fr"",""en"")"),"rain")</f>
        <v>rain</v>
      </c>
      <c r="E1820" s="3" t="str">
        <f ca="1">IFERROR(__xludf.DUMMYFUNCTION("GOOGLETRANSLATE(B1820,""fr"",""en"")"),"The rain began to drip on the windows.")</f>
        <v>The rain began to drip on the windows.</v>
      </c>
    </row>
    <row r="1821" spans="1:5" x14ac:dyDescent="0.25">
      <c r="A1821" s="2" t="s">
        <v>5462</v>
      </c>
      <c r="B1821" s="2" t="s">
        <v>5463</v>
      </c>
      <c r="C1821" s="3" t="s">
        <v>5464</v>
      </c>
      <c r="D1821" s="3" t="str">
        <f ca="1">IFERROR(__xludf.DUMMYFUNCTION("GOOGLETRANSLATE(A1821,""fr"",""en"")"),"to ventilate")</f>
        <v>to ventilate</v>
      </c>
      <c r="E1821" s="3" t="str">
        <f ca="1">IFERROR(__xludf.DUMMYFUNCTION("GOOGLETRANSLATE(B1821,""fr"",""en"")"),"Opening the windows helps ventilate the room.")</f>
        <v>Opening the windows helps ventilate the room.</v>
      </c>
    </row>
    <row r="1822" spans="1:5" x14ac:dyDescent="0.25">
      <c r="A1822" s="2" t="s">
        <v>5465</v>
      </c>
      <c r="B1822" s="2" t="s">
        <v>5466</v>
      </c>
      <c r="C1822" s="3" t="s">
        <v>5467</v>
      </c>
      <c r="D1822" s="3" t="str">
        <f ca="1">IFERROR(__xludf.DUMMYFUNCTION("GOOGLETRANSLATE(A1822,""fr"",""en"")"),"to enact")</f>
        <v>to enact</v>
      </c>
      <c r="E1822" s="3" t="str">
        <f ca="1">IFERROR(__xludf.DUMMYFUNCTION("GOOGLETRANSLATE(B1822,""fr"",""en"")"),"The government has decided to enact new laws.")</f>
        <v>The government has decided to enact new laws.</v>
      </c>
    </row>
    <row r="1823" spans="1:5" x14ac:dyDescent="0.25">
      <c r="A1823" s="2" t="s">
        <v>5468</v>
      </c>
      <c r="B1823" s="2" t="s">
        <v>5469</v>
      </c>
      <c r="C1823" s="3" t="s">
        <v>5470</v>
      </c>
      <c r="D1823" s="3" t="str">
        <f ca="1">IFERROR(__xludf.DUMMYFUNCTION("GOOGLETRANSLATE(A1823,""fr"",""en"")"),"duplicate")</f>
        <v>duplicate</v>
      </c>
      <c r="E1823" s="3" t="str">
        <f ca="1">IFERROR(__xludf.DUMMYFUNCTION("GOOGLETRANSLATE(B1823,""fr"",""en"")"),"You must duplicate the file before sending it.")</f>
        <v>You must duplicate the file before sending it.</v>
      </c>
    </row>
    <row r="1824" spans="1:5" x14ac:dyDescent="0.25">
      <c r="A1824" s="2" t="s">
        <v>5471</v>
      </c>
      <c r="B1824" s="2" t="s">
        <v>5472</v>
      </c>
      <c r="C1824" s="3" t="s">
        <v>5473</v>
      </c>
      <c r="D1824" s="3" t="str">
        <f ca="1">IFERROR(__xludf.DUMMYFUNCTION("GOOGLETRANSLATE(A1824,""fr"",""en"")"),"to curse")</f>
        <v>to curse</v>
      </c>
      <c r="E1824" s="3" t="str">
        <f ca="1">IFERROR(__xludf.DUMMYFUNCTION("GOOGLETRANSLATE(B1824,""fr"",""en"")"),"The sunlight will brighten the colors of the painting.")</f>
        <v>The sunlight will brighten the colors of the painting.</v>
      </c>
    </row>
    <row r="1825" spans="1:5" x14ac:dyDescent="0.25">
      <c r="A1825" s="2" t="s">
        <v>5474</v>
      </c>
      <c r="B1825" s="2" t="s">
        <v>5475</v>
      </c>
      <c r="C1825" s="3" t="s">
        <v>5476</v>
      </c>
      <c r="D1825" s="3" t="str">
        <f ca="1">IFERROR(__xludf.DUMMYFUNCTION("GOOGLETRANSLATE(A1825,""fr"",""en"")"),"grant")</f>
        <v>grant</v>
      </c>
      <c r="E1825" s="3" t="str">
        <f ca="1">IFERROR(__xludf.DUMMYFUNCTION("GOOGLETRANSLATE(B1825,""fr"",""en"")"),"The jury decided to award victory to the opposing team.")</f>
        <v>The jury decided to award victory to the opposing team.</v>
      </c>
    </row>
    <row r="1826" spans="1:5" x14ac:dyDescent="0.25">
      <c r="A1826" s="2" t="s">
        <v>5477</v>
      </c>
      <c r="B1826" s="2" t="s">
        <v>5478</v>
      </c>
      <c r="C1826" s="3" t="s">
        <v>5479</v>
      </c>
      <c r="D1826" s="3" t="str">
        <f ca="1">IFERROR(__xludf.DUMMYFUNCTION("GOOGLETRANSLATE(A1826,""fr"",""en"")"),"to radiate")</f>
        <v>to radiate</v>
      </c>
      <c r="E1826" s="3" t="str">
        <f ca="1">IFERROR(__xludf.DUMMYFUNCTION("GOOGLETRANSLATE(B1826,""fr"",""en"")"),"Her smile radiates throughout the room.")</f>
        <v>Her smile radiates throughout the room.</v>
      </c>
    </row>
    <row r="1827" spans="1:5" x14ac:dyDescent="0.25">
      <c r="A1827" s="2" t="s">
        <v>5480</v>
      </c>
      <c r="B1827" s="2" t="s">
        <v>5481</v>
      </c>
      <c r="C1827" s="3" t="s">
        <v>5482</v>
      </c>
      <c r="D1827" s="3" t="str">
        <f ca="1">IFERROR(__xludf.DUMMYFUNCTION("GOOGLETRANSLATE(A1827,""fr"",""en"")"),"to conceal")</f>
        <v>to conceal</v>
      </c>
      <c r="E1827" s="3" t="str">
        <f ca="1">IFERROR(__xludf.DUMMYFUNCTION("GOOGLETRANSLATE(B1827,""fr"",""en"")"),"This chest contains treasures forgotten for centuries.")</f>
        <v>This chest contains treasures forgotten for centuries.</v>
      </c>
    </row>
    <row r="1828" spans="1:5" x14ac:dyDescent="0.25">
      <c r="A1828" s="2" t="s">
        <v>5483</v>
      </c>
      <c r="B1828" s="2" t="s">
        <v>5484</v>
      </c>
      <c r="C1828" s="3" t="s">
        <v>5485</v>
      </c>
      <c r="D1828" s="3" t="str">
        <f ca="1">IFERROR(__xludf.DUMMYFUNCTION("GOOGLETRANSLATE(A1828,""fr"",""en"")"),"compete")</f>
        <v>compete</v>
      </c>
      <c r="E1828" s="3" t="str">
        <f ca="1">IFERROR(__xludf.DUMMYFUNCTION("GOOGLETRANSLATE(B1828,""fr"",""en"")"),"Rival teams will compete to win the title.")</f>
        <v>Rival teams will compete to win the title.</v>
      </c>
    </row>
    <row r="1829" spans="1:5" x14ac:dyDescent="0.25">
      <c r="A1829" s="2" t="s">
        <v>5486</v>
      </c>
      <c r="B1829" s="2" t="s">
        <v>5487</v>
      </c>
      <c r="C1829" s="3" t="s">
        <v>5488</v>
      </c>
      <c r="D1829" s="3" t="str">
        <f ca="1">IFERROR(__xludf.DUMMYFUNCTION("GOOGLETRANSLATE(A1829,""fr"",""en"")"),"chop")</f>
        <v>chop</v>
      </c>
      <c r="E1829" s="3" t="str">
        <f ca="1">IFERROR(__xludf.DUMMYFUNCTION("GOOGLETRANSLATE(B1829,""fr"",""en"")"),"Vegetables for soup should be finely chopped.")</f>
        <v>Vegetables for soup should be finely chopped.</v>
      </c>
    </row>
    <row r="1830" spans="1:5" x14ac:dyDescent="0.25">
      <c r="A1830" s="2" t="s">
        <v>5489</v>
      </c>
      <c r="B1830" s="2" t="s">
        <v>5490</v>
      </c>
      <c r="C1830" s="3" t="s">
        <v>5491</v>
      </c>
      <c r="D1830" s="3" t="str">
        <f ca="1">IFERROR(__xludf.DUMMYFUNCTION("GOOGLETRANSLATE(A1830,""fr"",""en"")"),"pinball")</f>
        <v>pinball</v>
      </c>
      <c r="E1830" s="3" t="str">
        <f ca="1">IFERROR(__xludf.DUMMYFUNCTION("GOOGLETRANSLATE(B1830,""fr"",""en"")"),"He started freaking out when he saw the snake.")</f>
        <v>He started freaking out when he saw the snake.</v>
      </c>
    </row>
    <row r="1831" spans="1:5" x14ac:dyDescent="0.25">
      <c r="A1831" s="2" t="s">
        <v>5492</v>
      </c>
      <c r="B1831" s="2" t="s">
        <v>5493</v>
      </c>
      <c r="C1831" s="3" t="s">
        <v>5494</v>
      </c>
      <c r="D1831" s="3" t="str">
        <f ca="1">IFERROR(__xludf.DUMMYFUNCTION("GOOGLETRANSLATE(A1831,""fr"",""en"")"),"teleport")</f>
        <v>teleport</v>
      </c>
      <c r="E1831" s="3" t="str">
        <f ca="1">IFERROR(__xludf.DUMMYFUNCTION("GOOGLETRANSLATE(B1831,""fr"",""en"")"),"In this science fiction movie, they can teleport instantly.")</f>
        <v>In this science fiction movie, they can teleport instantly.</v>
      </c>
    </row>
    <row r="1832" spans="1:5" x14ac:dyDescent="0.25">
      <c r="A1832" s="2" t="s">
        <v>5495</v>
      </c>
      <c r="B1832" s="2" t="s">
        <v>5496</v>
      </c>
      <c r="C1832" s="3" t="s">
        <v>5497</v>
      </c>
      <c r="D1832" s="3" t="str">
        <f ca="1">IFERROR(__xludf.DUMMYFUNCTION("GOOGLETRANSLATE(A1832,""fr"",""en"")"),"to challenge")</f>
        <v>to challenge</v>
      </c>
      <c r="E1832" s="3" t="str">
        <f ca="1">IFERROR(__xludf.DUMMYFUNCTION("GOOGLETRANSLATE(B1832,""fr"",""en"")"),"She was struck by the beauty of the landscape.")</f>
        <v>She was struck by the beauty of the landscape.</v>
      </c>
    </row>
    <row r="1833" spans="1:5" x14ac:dyDescent="0.25">
      <c r="A1833" s="2" t="s">
        <v>5498</v>
      </c>
      <c r="B1833" s="2" t="s">
        <v>5499</v>
      </c>
      <c r="C1833" s="3" t="s">
        <v>5500</v>
      </c>
      <c r="D1833" s="3" t="str">
        <f ca="1">IFERROR(__xludf.DUMMYFUNCTION("GOOGLETRANSLATE(A1833,""fr"",""en"")"),"miss")</f>
        <v>miss</v>
      </c>
      <c r="E1833" s="3" t="str">
        <f ca="1">IFERROR(__xludf.DUMMYFUNCTION("GOOGLETRANSLATE(B1833,""fr"",""en"")"),"He ended up missing his appointment because of traffic.")</f>
        <v>He ended up missing his appointment because of traffic.</v>
      </c>
    </row>
    <row r="1834" spans="1:5" x14ac:dyDescent="0.25">
      <c r="A1834" s="2" t="s">
        <v>5501</v>
      </c>
      <c r="B1834" s="2" t="s">
        <v>5502</v>
      </c>
      <c r="C1834" s="3" t="s">
        <v>5503</v>
      </c>
      <c r="D1834" s="3" t="str">
        <f ca="1">IFERROR(__xludf.DUMMYFUNCTION("GOOGLETRANSLATE(A1834,""fr"",""en"")"),"encode")</f>
        <v>encode</v>
      </c>
      <c r="E1834" s="3" t="str">
        <f ca="1">IFERROR(__xludf.DUMMYFUNCTION("GOOGLETRANSLATE(B1834,""fr"",""en"")"),"Make sure you enter the information correctly into the system.")</f>
        <v>Make sure you enter the information correctly into the system.</v>
      </c>
    </row>
    <row r="1835" spans="1:5" x14ac:dyDescent="0.25">
      <c r="A1835" s="2" t="s">
        <v>5504</v>
      </c>
      <c r="B1835" s="2" t="s">
        <v>5505</v>
      </c>
      <c r="C1835" s="3" t="s">
        <v>5506</v>
      </c>
      <c r="D1835" s="3" t="str">
        <f ca="1">IFERROR(__xludf.DUMMYFUNCTION("GOOGLETRANSLATE(A1835,""fr"",""en"")"),"format")</f>
        <v>format</v>
      </c>
      <c r="E1835" s="3" t="str">
        <f ca="1">IFERROR(__xludf.DUMMYFUNCTION("GOOGLETRANSLATE(B1835,""fr"",""en"")"),"You must format the hard drive before reinstalling the operating system.")</f>
        <v>You must format the hard drive before reinstalling the operating system.</v>
      </c>
    </row>
    <row r="1836" spans="1:5" x14ac:dyDescent="0.25">
      <c r="A1836" s="2" t="s">
        <v>5507</v>
      </c>
      <c r="B1836" s="2" t="s">
        <v>5508</v>
      </c>
      <c r="C1836" s="3" t="s">
        <v>5509</v>
      </c>
      <c r="D1836" s="3" t="str">
        <f ca="1">IFERROR(__xludf.DUMMYFUNCTION("GOOGLETRANSLATE(A1836,""fr"",""en"")"),"to chain")</f>
        <v>to chain</v>
      </c>
      <c r="E1836" s="3" t="str">
        <f ca="1">IFERROR(__xludf.DUMMYFUNCTION("GOOGLETRANSLATE(B1836,""fr"",""en"")"),"They will chain events together to maintain the audience's attention.")</f>
        <v>They will chain events together to maintain the audience's attention.</v>
      </c>
    </row>
    <row r="1837" spans="1:5" x14ac:dyDescent="0.25">
      <c r="A1837" s="2" t="s">
        <v>5510</v>
      </c>
      <c r="B1837" s="2" t="s">
        <v>5511</v>
      </c>
      <c r="C1837" s="3" t="s">
        <v>5512</v>
      </c>
      <c r="D1837" s="3" t="str">
        <f ca="1">IFERROR(__xludf.DUMMYFUNCTION("GOOGLETRANSLATE(A1837,""fr"",""en"")"),"to crunch")</f>
        <v>to crunch</v>
      </c>
      <c r="E1837" s="3" t="str">
        <f ca="1">IFERROR(__xludf.DUMMYFUNCTION("GOOGLETRANSLATE(B1837,""fr"",""en"")"),"He loves to bite into a juicy apple.")</f>
        <v>He loves to bite into a juicy apple.</v>
      </c>
    </row>
    <row r="1838" spans="1:5" x14ac:dyDescent="0.25">
      <c r="A1838" s="2" t="s">
        <v>5513</v>
      </c>
      <c r="B1838" s="2" t="s">
        <v>5514</v>
      </c>
      <c r="C1838" s="3" t="s">
        <v>5515</v>
      </c>
      <c r="D1838" s="3" t="str">
        <f ca="1">IFERROR(__xludf.DUMMYFUNCTION("GOOGLETRANSLATE(A1838,""fr"",""en"")"),"slam")</f>
        <v>slam</v>
      </c>
      <c r="E1838" s="3" t="str">
        <f ca="1">IFERROR(__xludf.DUMMYFUNCTION("GOOGLETRANSLATE(B1838,""fr"",""en"")"),"The door slammed behind her as she left.")</f>
        <v>The door slammed behind her as she left.</v>
      </c>
    </row>
    <row r="1839" spans="1:5" x14ac:dyDescent="0.25">
      <c r="A1839" s="2" t="s">
        <v>5516</v>
      </c>
      <c r="B1839" s="2" t="s">
        <v>5517</v>
      </c>
      <c r="C1839" s="3" t="s">
        <v>5518</v>
      </c>
      <c r="D1839" s="3" t="str">
        <f ca="1">IFERROR(__xludf.DUMMYFUNCTION("GOOGLETRANSLATE(A1839,""fr"",""en"")"),"correlate")</f>
        <v>correlate</v>
      </c>
      <c r="E1839" s="3" t="str">
        <f ca="1">IFERROR(__xludf.DUMMYFUNCTION("GOOGLETRANSLATE(B1839,""fr"",""en"")"),"These data need to be correlated to find trends.")</f>
        <v>These data need to be correlated to find trends.</v>
      </c>
    </row>
    <row r="1840" spans="1:5" x14ac:dyDescent="0.25">
      <c r="A1840" s="2" t="s">
        <v>5519</v>
      </c>
      <c r="B1840" s="2" t="s">
        <v>5520</v>
      </c>
      <c r="C1840" s="3" t="s">
        <v>5521</v>
      </c>
      <c r="D1840" s="3" t="str">
        <f ca="1">IFERROR(__xludf.DUMMYFUNCTION("GOOGLETRANSLATE(A1840,""fr"",""en"")"),"overflow")</f>
        <v>overflow</v>
      </c>
      <c r="E1840" s="3" t="str">
        <f ca="1">IFERROR(__xludf.DUMMYFUNCTION("GOOGLETRANSLATE(B1840,""fr"",""en"")"),"Rivers can overflow after heavy rains.")</f>
        <v>Rivers can overflow after heavy rains.</v>
      </c>
    </row>
    <row r="1841" spans="1:5" x14ac:dyDescent="0.25">
      <c r="A1841" s="2" t="s">
        <v>5522</v>
      </c>
      <c r="B1841" s="2" t="s">
        <v>5523</v>
      </c>
      <c r="C1841" s="3" t="s">
        <v>5524</v>
      </c>
      <c r="D1841" s="3" t="str">
        <f ca="1">IFERROR(__xludf.DUMMYFUNCTION("GOOGLETRANSLATE(A1841,""fr"",""en"")"),"dislodge")</f>
        <v>dislodge</v>
      </c>
      <c r="E1841" s="3" t="str">
        <f ca="1">IFERROR(__xludf.DUMMYFUNCTION("GOOGLETRANSLATE(B1841,""fr"",""en"")"),"The soldiers managed to dislodge the enemy from their position.")</f>
        <v>The soldiers managed to dislodge the enemy from their position.</v>
      </c>
    </row>
    <row r="1842" spans="1:5" x14ac:dyDescent="0.25">
      <c r="A1842" s="2" t="s">
        <v>5525</v>
      </c>
      <c r="B1842" s="2" t="s">
        <v>5526</v>
      </c>
      <c r="C1842" s="3" t="s">
        <v>5527</v>
      </c>
      <c r="D1842" s="3" t="str">
        <f ca="1">IFERROR(__xludf.DUMMYFUNCTION("GOOGLETRANSLATE(A1842,""fr"",""en"")"),"revitalize")</f>
        <v>revitalize</v>
      </c>
      <c r="E1842" s="3" t="str">
        <f ca="1">IFERROR(__xludf.DUMMYFUNCTION("GOOGLETRANSLATE(B1842,""fr"",""en"")"),"The new coach has revitalized the football team.")</f>
        <v>The new coach has revitalized the football team.</v>
      </c>
    </row>
    <row r="1843" spans="1:5" x14ac:dyDescent="0.25">
      <c r="A1843" s="2" t="s">
        <v>5528</v>
      </c>
      <c r="B1843" s="2" t="s">
        <v>5529</v>
      </c>
      <c r="C1843" s="3" t="s">
        <v>5530</v>
      </c>
      <c r="D1843" s="3" t="str">
        <f ca="1">IFERROR(__xludf.DUMMYFUNCTION("GOOGLETRANSLATE(A1843,""fr"",""en"")"),"superimpose")</f>
        <v>superimpose</v>
      </c>
      <c r="E1843" s="3" t="str">
        <f ca="1">IFERROR(__xludf.DUMMYFUNCTION("GOOGLETRANSLATE(B1843,""fr"",""en"")"),"Layering your clothing helps protect you from the cold.")</f>
        <v>Layering your clothing helps protect you from the cold.</v>
      </c>
    </row>
    <row r="1844" spans="1:5" x14ac:dyDescent="0.25">
      <c r="A1844" s="2" t="s">
        <v>5531</v>
      </c>
      <c r="B1844" s="2" t="s">
        <v>5532</v>
      </c>
      <c r="C1844" s="3" t="s">
        <v>5533</v>
      </c>
      <c r="D1844" s="3" t="str">
        <f ca="1">IFERROR(__xludf.DUMMYFUNCTION("GOOGLETRANSLATE(A1844,""fr"",""en"")"),"try again")</f>
        <v>try again</v>
      </c>
      <c r="E1844" s="3" t="str">
        <f ca="1">IFERROR(__xludf.DUMMYFUNCTION("GOOGLETRANSLATE(B1844,""fr"",""en"")"),"After the failure, he decided to try again.")</f>
        <v>After the failure, he decided to try again.</v>
      </c>
    </row>
    <row r="1845" spans="1:5" x14ac:dyDescent="0.25">
      <c r="A1845" s="2" t="s">
        <v>5534</v>
      </c>
      <c r="B1845" s="2" t="s">
        <v>5535</v>
      </c>
      <c r="C1845" s="3" t="s">
        <v>5536</v>
      </c>
      <c r="D1845" s="3" t="str">
        <f ca="1">IFERROR(__xludf.DUMMYFUNCTION("GOOGLETRANSLATE(A1845,""fr"",""en"")"),"climb")</f>
        <v>climb</v>
      </c>
      <c r="E1845" s="3" t="str">
        <f ca="1">IFERROR(__xludf.DUMMYFUNCTION("GOOGLETRANSLATE(B1845,""fr"",""en"")"),"They climbed the mountain before sunset.")</f>
        <v>They climbed the mountain before sunset.</v>
      </c>
    </row>
    <row r="1846" spans="1:5" x14ac:dyDescent="0.25">
      <c r="A1846" s="2" t="s">
        <v>5537</v>
      </c>
      <c r="B1846" s="2" t="s">
        <v>5538</v>
      </c>
      <c r="C1846" s="3" t="s">
        <v>5539</v>
      </c>
      <c r="D1846" s="3" t="str">
        <f ca="1">IFERROR(__xludf.DUMMYFUNCTION("GOOGLETRANSLATE(A1846,""fr"",""en"")"),"park")</f>
        <v>park</v>
      </c>
      <c r="E1846" s="3" t="str">
        <f ca="1">IFERROR(__xludf.DUMMYFUNCTION("GOOGLETRANSLATE(B1846,""fr"",""en"")"),"It is difficult to park in the city center.")</f>
        <v>It is difficult to park in the city center.</v>
      </c>
    </row>
    <row r="1847" spans="1:5" x14ac:dyDescent="0.25">
      <c r="A1847" s="2" t="s">
        <v>5540</v>
      </c>
      <c r="B1847" s="2" t="s">
        <v>5541</v>
      </c>
      <c r="C1847" s="3" t="s">
        <v>5542</v>
      </c>
      <c r="D1847" s="3" t="str">
        <f ca="1">IFERROR(__xludf.DUMMYFUNCTION("GOOGLETRANSLATE(A1847,""fr"",""en"")"),"to rob")</f>
        <v>to rob</v>
      </c>
      <c r="E1847" s="3" t="str">
        <f ca="1">IFERROR(__xludf.DUMMYFUNCTION("GOOGLETRANSLATE(B1847,""fr"",""en"")"),"The robbers robbed the bank last night.")</f>
        <v>The robbers robbed the bank last night.</v>
      </c>
    </row>
    <row r="1848" spans="1:5" x14ac:dyDescent="0.25">
      <c r="A1848" s="2" t="s">
        <v>5543</v>
      </c>
      <c r="B1848" s="2" t="s">
        <v>5544</v>
      </c>
      <c r="C1848" s="3" t="s">
        <v>5545</v>
      </c>
      <c r="D1848" s="3" t="str">
        <f ca="1">IFERROR(__xludf.DUMMYFUNCTION("GOOGLETRANSLATE(A1848,""fr"",""en"")"),"retransmit")</f>
        <v>retransmit</v>
      </c>
      <c r="E1848" s="3" t="str">
        <f ca="1">IFERROR(__xludf.DUMMYFUNCTION("GOOGLETRANSLATE(B1848,""fr"",""en"")"),"It is important to faithfully transmit information without distorting it.")</f>
        <v>It is important to faithfully transmit information without distorting it.</v>
      </c>
    </row>
    <row r="1849" spans="1:5" x14ac:dyDescent="0.25">
      <c r="A1849" s="2" t="s">
        <v>5546</v>
      </c>
      <c r="B1849" s="2" t="s">
        <v>5547</v>
      </c>
      <c r="C1849" s="3" t="s">
        <v>5548</v>
      </c>
      <c r="D1849" s="3" t="str">
        <f ca="1">IFERROR(__xludf.DUMMYFUNCTION("GOOGLETRANSLATE(A1849,""fr"",""en"")"),"chapter")</f>
        <v>chapter</v>
      </c>
      <c r="E1849" s="3" t="str">
        <f ca="1">IFERROR(__xludf.DUMMYFUNCTION("GOOGLETRANSLATE(B1849,""fr"",""en"")"),"He will chapter his book before publishing it.")</f>
        <v>He will chapter his book before publishing it.</v>
      </c>
    </row>
    <row r="1850" spans="1:5" x14ac:dyDescent="0.25">
      <c r="A1850" s="2" t="s">
        <v>5549</v>
      </c>
      <c r="B1850" s="2" t="s">
        <v>5550</v>
      </c>
      <c r="C1850" s="3" t="s">
        <v>5551</v>
      </c>
      <c r="D1850" s="3" t="str">
        <f ca="1">IFERROR(__xludf.DUMMYFUNCTION("GOOGLETRANSLATE(A1850,""fr"",""en"")"),"index")</f>
        <v>index</v>
      </c>
      <c r="E1850" s="3" t="str">
        <f ca="1">IFERROR(__xludf.DUMMYFUNCTION("GOOGLETRANSLATE(B1850,""fr"",""en"")"),"Documents should be indexed to facilitate searching.")</f>
        <v>Documents should be indexed to facilitate searching.</v>
      </c>
    </row>
    <row r="1851" spans="1:5" x14ac:dyDescent="0.25">
      <c r="A1851" s="2" t="s">
        <v>5552</v>
      </c>
      <c r="B1851" s="2" t="s">
        <v>5553</v>
      </c>
      <c r="C1851" s="3" t="s">
        <v>5554</v>
      </c>
      <c r="D1851" s="3" t="str">
        <f ca="1">IFERROR(__xludf.DUMMYFUNCTION("GOOGLETRANSLATE(A1851,""fr"",""en"")"),"incur")</f>
        <v>incur</v>
      </c>
      <c r="E1851" s="3" t="str">
        <f ca="1">IFERROR(__xludf.DUMMYFUNCTION("GOOGLETRANSLATE(B1851,""fr"",""en"")"),"He may face heavy penalties if he does not comply with the law.")</f>
        <v>He may face heavy penalties if he does not comply with the law.</v>
      </c>
    </row>
    <row r="1852" spans="1:5" x14ac:dyDescent="0.25">
      <c r="A1852" s="2" t="s">
        <v>5555</v>
      </c>
      <c r="B1852" s="2" t="s">
        <v>5556</v>
      </c>
      <c r="C1852" s="3" t="s">
        <v>5557</v>
      </c>
      <c r="D1852" s="3" t="str">
        <f ca="1">IFERROR(__xludf.DUMMYFUNCTION("GOOGLETRANSLATE(A1852,""fr"",""en"")"),"criminalize")</f>
        <v>criminalize</v>
      </c>
      <c r="E1852" s="3" t="str">
        <f ca="1">IFERROR(__xludf.DUMMYFUNCTION("GOOGLETRANSLATE(B1852,""fr"",""en"")"),"The authorities have decided to criminalize drug trafficking.")</f>
        <v>The authorities have decided to criminalize drug trafficking.</v>
      </c>
    </row>
    <row r="1853" spans="1:5" x14ac:dyDescent="0.25">
      <c r="A1853" s="2" t="s">
        <v>5558</v>
      </c>
      <c r="B1853" s="2" t="s">
        <v>5559</v>
      </c>
      <c r="C1853" s="3" t="s">
        <v>5560</v>
      </c>
      <c r="D1853" s="3" t="str">
        <f ca="1">IFERROR(__xludf.DUMMYFUNCTION("GOOGLETRANSLATE(A1853,""fr"",""en"")"),"clone")</f>
        <v>clone</v>
      </c>
      <c r="E1853" s="3" t="str">
        <f ca="1">IFERROR(__xludf.DUMMYFUNCTION("GOOGLETRANSLATE(B1853,""fr"",""en"")"),"Cloning allows organisms to be genetically reproduced.")</f>
        <v>Cloning allows organisms to be genetically reproduced.</v>
      </c>
    </row>
    <row r="1854" spans="1:5" x14ac:dyDescent="0.25">
      <c r="A1854" s="2" t="s">
        <v>5561</v>
      </c>
      <c r="B1854" s="2" t="s">
        <v>5562</v>
      </c>
      <c r="C1854" s="3" t="s">
        <v>5563</v>
      </c>
      <c r="D1854" s="3" t="str">
        <f ca="1">IFERROR(__xludf.DUMMYFUNCTION("GOOGLETRANSLATE(A1854,""fr"",""en"")"),"beg")</f>
        <v>beg</v>
      </c>
      <c r="E1854" s="3" t="str">
        <f ca="1">IFERROR(__xludf.DUMMYFUNCTION("GOOGLETRANSLATE(B1854,""fr"",""en"")"),"She begs every day to feed her family.")</f>
        <v>She begs every day to feed her family.</v>
      </c>
    </row>
    <row r="1855" spans="1:5" x14ac:dyDescent="0.25">
      <c r="A1855" s="2" t="s">
        <v>5564</v>
      </c>
      <c r="B1855" s="2" t="s">
        <v>5565</v>
      </c>
      <c r="C1855" s="3" t="s">
        <v>5566</v>
      </c>
      <c r="D1855" s="3" t="str">
        <f ca="1">IFERROR(__xludf.DUMMYFUNCTION("GOOGLETRANSLATE(A1855,""fr"",""en"")"),"measure")</f>
        <v>measure</v>
      </c>
      <c r="E1855" s="3" t="str">
        <f ca="1">IFERROR(__xludf.DUMMYFUNCTION("GOOGLETRANSLATE(B1855,""fr"",""en"")"),"He must measure the surface before starting work.")</f>
        <v>He must measure the surface before starting work.</v>
      </c>
    </row>
    <row r="1856" spans="1:5" x14ac:dyDescent="0.25">
      <c r="A1856" s="2" t="s">
        <v>5567</v>
      </c>
      <c r="B1856" s="2" t="s">
        <v>5568</v>
      </c>
      <c r="C1856" s="3" t="s">
        <v>5569</v>
      </c>
      <c r="D1856" s="3" t="str">
        <f ca="1">IFERROR(__xludf.DUMMYFUNCTION("GOOGLETRANSLATE(A1856,""fr"",""en"")"),"to advocate")</f>
        <v>to advocate</v>
      </c>
      <c r="E1856" s="3" t="str">
        <f ca="1">IFERROR(__xludf.DUMMYFUNCTION("GOOGLETRANSLATE(B1856,""fr"",""en"")"),"He likes to advocate peace and tolerance in his speeches.")</f>
        <v>He likes to advocate peace and tolerance in his speeches.</v>
      </c>
    </row>
    <row r="1857" spans="1:5" x14ac:dyDescent="0.25">
      <c r="A1857" s="2" t="s">
        <v>5570</v>
      </c>
      <c r="B1857" s="2" t="s">
        <v>5571</v>
      </c>
      <c r="C1857" s="3" t="s">
        <v>5572</v>
      </c>
      <c r="D1857" s="3" t="str">
        <f ca="1">IFERROR(__xludf.DUMMYFUNCTION("GOOGLETRANSLATE(A1857,""fr"",""en"")"),"fold back")</f>
        <v>fold back</v>
      </c>
      <c r="E1857" s="3" t="str">
        <f ca="1">IFERROR(__xludf.DUMMYFUNCTION("GOOGLETRANSLATE(B1857,""fr"",""en"")"),"Before leaving, he will fold the maps and put them away.")</f>
        <v>Before leaving, he will fold the maps and put them away.</v>
      </c>
    </row>
    <row r="1858" spans="1:5" x14ac:dyDescent="0.25">
      <c r="A1858" s="2" t="s">
        <v>5573</v>
      </c>
      <c r="B1858" s="2" t="s">
        <v>5574</v>
      </c>
      <c r="C1858" s="3" t="s">
        <v>5575</v>
      </c>
      <c r="D1858" s="3" t="str">
        <f ca="1">IFERROR(__xludf.DUMMYFUNCTION("GOOGLETRANSLATE(A1858,""fr"",""en"")"),"corkscrew")</f>
        <v>corkscrew</v>
      </c>
      <c r="E1858" s="3" t="str">
        <f ca="1">IFERROR(__xludf.DUMMYFUNCTION("GOOGLETRANSLATE(B1858,""fr"",""en"")"),"To open the bottle, you have to corkscrew the cork.")</f>
        <v>To open the bottle, you have to corkscrew the cork.</v>
      </c>
    </row>
    <row r="1859" spans="1:5" x14ac:dyDescent="0.25">
      <c r="A1859" s="2" t="s">
        <v>5576</v>
      </c>
      <c r="B1859" s="2" t="s">
        <v>5577</v>
      </c>
      <c r="C1859" s="3" t="s">
        <v>5578</v>
      </c>
      <c r="D1859" s="3" t="str">
        <f ca="1">IFERROR(__xludf.DUMMYFUNCTION("GOOGLETRANSLATE(A1859,""fr"",""en"")"),"decompensate")</f>
        <v>decompensate</v>
      </c>
      <c r="E1859" s="3" t="str">
        <f ca="1">IFERROR(__xludf.DUMMYFUNCTION("GOOGLETRANSLATE(B1859,""fr"",""en"")"),"The disease can decompensate quickly if left untreated.")</f>
        <v>The disease can decompensate quickly if left untreated.</v>
      </c>
    </row>
    <row r="1860" spans="1:5" x14ac:dyDescent="0.25">
      <c r="A1860" s="2" t="s">
        <v>5579</v>
      </c>
      <c r="B1860" s="2" t="s">
        <v>5580</v>
      </c>
      <c r="C1860" s="3" t="s">
        <v>5581</v>
      </c>
      <c r="D1860" s="3" t="str">
        <f ca="1">IFERROR(__xludf.DUMMYFUNCTION("GOOGLETRANSLATE(A1860,""fr"",""en"")"),"shock")</f>
        <v>shock</v>
      </c>
      <c r="E1860" s="3" t="str">
        <f ca="1">IFERROR(__xludf.DUMMYFUNCTION("GOOGLETRANSLATE(B1860,""fr"",""en"")"),"His words shocked the entire audience.")</f>
        <v>His words shocked the entire audience.</v>
      </c>
    </row>
    <row r="1861" spans="1:5" x14ac:dyDescent="0.25">
      <c r="A1861" s="2" t="s">
        <v>5582</v>
      </c>
      <c r="B1861" s="2" t="s">
        <v>5583</v>
      </c>
      <c r="C1861" s="3" t="s">
        <v>5584</v>
      </c>
      <c r="D1861" s="3" t="str">
        <f ca="1">IFERROR(__xludf.DUMMYFUNCTION("GOOGLETRANSLATE(A1861,""fr"",""en"")"),"to infirm")</f>
        <v>to infirm</v>
      </c>
      <c r="E1861" s="3" t="str">
        <f ca="1">IFERROR(__xludf.DUMMYFUNCTION("GOOGLETRANSLATE(B1861,""fr"",""en"")"),"The accused's testimony cleared him of any suspicion.")</f>
        <v>The accused's testimony cleared him of any suspicion.</v>
      </c>
    </row>
    <row r="1862" spans="1:5" x14ac:dyDescent="0.25">
      <c r="A1862" s="2" t="s">
        <v>5585</v>
      </c>
      <c r="B1862" s="2" t="s">
        <v>5586</v>
      </c>
      <c r="C1862" s="3" t="s">
        <v>5587</v>
      </c>
      <c r="D1862" s="3" t="str">
        <f ca="1">IFERROR(__xludf.DUMMYFUNCTION("GOOGLETRANSLATE(A1862,""fr"",""en"")"),"succumb")</f>
        <v>succumb</v>
      </c>
      <c r="E1862" s="3" t="str">
        <f ca="1">IFERROR(__xludf.DUMMYFUNCTION("GOOGLETRANSLATE(B1862,""fr"",""en"")"),"Faced with the pressure, he finally succumbed.")</f>
        <v>Faced with the pressure, he finally succumbed.</v>
      </c>
    </row>
    <row r="1863" spans="1:5" x14ac:dyDescent="0.25">
      <c r="A1863" s="2" t="s">
        <v>5588</v>
      </c>
      <c r="B1863" s="2" t="s">
        <v>5589</v>
      </c>
      <c r="C1863" s="3" t="s">
        <v>5590</v>
      </c>
      <c r="D1863" s="3" t="str">
        <f ca="1">IFERROR(__xludf.DUMMYFUNCTION("GOOGLETRANSLATE(A1863,""fr"",""en"")"),"thriller")</f>
        <v>thriller</v>
      </c>
      <c r="E1863" s="3" t="str">
        <f ca="1">IFERROR(__xludf.DUMMYFUNCTION("GOOGLETRANSLATE(B1863,""fr"",""en"")"),"This novel is a gripping thriller that keeps you on the edge of your seat.")</f>
        <v>This novel is a gripping thriller that keeps you on the edge of your seat.</v>
      </c>
    </row>
    <row r="1864" spans="1:5" x14ac:dyDescent="0.25">
      <c r="A1864" s="2" t="s">
        <v>5591</v>
      </c>
      <c r="B1864" s="2" t="s">
        <v>5592</v>
      </c>
      <c r="C1864" s="3" t="s">
        <v>5593</v>
      </c>
      <c r="D1864" s="3" t="str">
        <f ca="1">IFERROR(__xludf.DUMMYFUNCTION("GOOGLETRANSLATE(A1864,""fr"",""en"")"),"procreate")</f>
        <v>procreate</v>
      </c>
      <c r="E1864" s="3" t="str">
        <f ca="1">IFERROR(__xludf.DUMMYFUNCTION("GOOGLETRANSLATE(B1864,""fr"",""en"")"),"She decided to procreate after years of waiting.")</f>
        <v>She decided to procreate after years of waiting.</v>
      </c>
    </row>
    <row r="1865" spans="1:5" x14ac:dyDescent="0.25">
      <c r="A1865" s="2" t="s">
        <v>5594</v>
      </c>
      <c r="B1865" s="2" t="s">
        <v>5595</v>
      </c>
      <c r="C1865" s="3" t="s">
        <v>5596</v>
      </c>
      <c r="D1865" s="3" t="str">
        <f ca="1">IFERROR(__xludf.DUMMYFUNCTION("GOOGLETRANSLATE(A1865,""fr"",""en"")"),"suffer")</f>
        <v>suffer</v>
      </c>
      <c r="E1865" s="3" t="str">
        <f ca="1">IFERROR(__xludf.DUMMYFUNCTION("GOOGLETRANSLATE(B1865,""fr"",""en"")"),"Farmers will suffer the consequences of the drought.")</f>
        <v>Farmers will suffer the consequences of the drought.</v>
      </c>
    </row>
    <row r="1866" spans="1:5" x14ac:dyDescent="0.25">
      <c r="A1866" s="2" t="s">
        <v>5597</v>
      </c>
      <c r="B1866" s="2" t="s">
        <v>5598</v>
      </c>
      <c r="C1866" s="3" t="s">
        <v>5599</v>
      </c>
      <c r="D1866" s="3" t="str">
        <f ca="1">IFERROR(__xludf.DUMMYFUNCTION("GOOGLETRANSLATE(A1866,""fr"",""en"")"),"to insulate")</f>
        <v>to insulate</v>
      </c>
      <c r="E1866" s="3" t="str">
        <f ca="1">IFERROR(__xludf.DUMMYFUNCTION("GOOGLETRANSLATE(B1866,""fr"",""en"")"),"Houses need to be insulated to save energy.")</f>
        <v>Houses need to be insulated to save energy.</v>
      </c>
    </row>
    <row r="1867" spans="1:5" x14ac:dyDescent="0.25">
      <c r="A1867" s="2" t="s">
        <v>5600</v>
      </c>
      <c r="B1867" s="2" t="s">
        <v>5601</v>
      </c>
      <c r="C1867" s="3" t="s">
        <v>5602</v>
      </c>
      <c r="D1867" s="3" t="str">
        <f ca="1">IFERROR(__xludf.DUMMYFUNCTION("GOOGLETRANSLATE(A1867,""fr"",""en"")"),"to diminish")</f>
        <v>to diminish</v>
      </c>
      <c r="E1867" s="3" t="str">
        <f ca="1">IFERROR(__xludf.DUMMYFUNCTION("GOOGLETRANSLATE(B1867,""fr"",""en"")"),"It will reduce the side effects of the treatment.")</f>
        <v>It will reduce the side effects of the treatment.</v>
      </c>
    </row>
    <row r="1868" spans="1:5" x14ac:dyDescent="0.25">
      <c r="A1868" s="2" t="s">
        <v>5603</v>
      </c>
      <c r="B1868" s="2" t="s">
        <v>5604</v>
      </c>
      <c r="C1868" s="3" t="s">
        <v>5605</v>
      </c>
      <c r="D1868" s="3" t="str">
        <f ca="1">IFERROR(__xludf.DUMMYFUNCTION("GOOGLETRANSLATE(A1868,""fr"",""en"")"),"to inflect")</f>
        <v>to inflect</v>
      </c>
      <c r="E1868" s="3" t="str">
        <f ca="1">IFERROR(__xludf.DUMMYFUNCTION("GOOGLETRANSLATE(B1868,""fr"",""en"")"),"Critics managed to influence his decision.")</f>
        <v>Critics managed to influence his decision.</v>
      </c>
    </row>
    <row r="1869" spans="1:5" x14ac:dyDescent="0.25">
      <c r="A1869" s="2" t="s">
        <v>5606</v>
      </c>
      <c r="B1869" s="2" t="s">
        <v>5607</v>
      </c>
      <c r="C1869" s="3" t="s">
        <v>5608</v>
      </c>
      <c r="D1869" s="3" t="str">
        <f ca="1">IFERROR(__xludf.DUMMYFUNCTION("GOOGLETRANSLATE(A1869,""fr"",""en"")"),"medicalize")</f>
        <v>medicalize</v>
      </c>
      <c r="E1869" s="3" t="str">
        <f ca="1">IFERROR(__xludf.DUMMYFUNCTION("GOOGLETRANSLATE(B1869,""fr"",""en"")"),"The company seeks to medicalize home care.")</f>
        <v>The company seeks to medicalize home care.</v>
      </c>
    </row>
    <row r="1870" spans="1:5" x14ac:dyDescent="0.25">
      <c r="A1870" s="2" t="s">
        <v>5609</v>
      </c>
      <c r="B1870" s="2" t="s">
        <v>5610</v>
      </c>
      <c r="C1870" s="3" t="s">
        <v>5611</v>
      </c>
      <c r="D1870" s="3" t="str">
        <f ca="1">IFERROR(__xludf.DUMMYFUNCTION("GOOGLETRANSLATE(A1870,""fr"",""en"")"),"decompress")</f>
        <v>decompress</v>
      </c>
      <c r="E1870" s="3" t="str">
        <f ca="1">IFERROR(__xludf.DUMMYFUNCTION("GOOGLETRANSLATE(B1870,""fr"",""en"")"),"After a long day, he likes to unwind by watching TV.")</f>
        <v>After a long day, he likes to unwind by watching TV.</v>
      </c>
    </row>
    <row r="1871" spans="1:5" x14ac:dyDescent="0.25">
      <c r="A1871" s="2" t="s">
        <v>5612</v>
      </c>
      <c r="B1871" s="2" t="s">
        <v>5613</v>
      </c>
      <c r="C1871" s="3" t="s">
        <v>5614</v>
      </c>
      <c r="D1871" s="3" t="str">
        <f ca="1">IFERROR(__xludf.DUMMYFUNCTION("GOOGLETRANSLATE(A1871,""fr"",""en"")"),"to perforate")</f>
        <v>to perforate</v>
      </c>
      <c r="E1871" s="3" t="str">
        <f ca="1">IFERROR(__xludf.DUMMYFUNCTION("GOOGLETRANSLATE(B1871,""fr"",""en"")"),"He used a drill to drill into the wall.")</f>
        <v>He used a drill to drill into the wall.</v>
      </c>
    </row>
    <row r="1872" spans="1:5" x14ac:dyDescent="0.25">
      <c r="A1872" s="2" t="s">
        <v>5615</v>
      </c>
      <c r="B1872" s="2" t="s">
        <v>5616</v>
      </c>
      <c r="C1872" s="3" t="s">
        <v>5617</v>
      </c>
      <c r="D1872" s="3" t="str">
        <f ca="1">IFERROR(__xludf.DUMMYFUNCTION("GOOGLETRANSLATE(A1872,""fr"",""en"")"),"triple")</f>
        <v>triple</v>
      </c>
      <c r="E1872" s="3" t="str">
        <f ca="1">IFERROR(__xludf.DUMMYFUNCTION("GOOGLETRANSLATE(B1872,""fr"",""en"")"),"She tripled her savings through her investments.")</f>
        <v>She tripled her savings through her investments.</v>
      </c>
    </row>
    <row r="1873" spans="1:5" x14ac:dyDescent="0.25">
      <c r="A1873" s="2" t="s">
        <v>5618</v>
      </c>
      <c r="B1873" s="2" t="s">
        <v>5619</v>
      </c>
      <c r="C1873" s="3" t="s">
        <v>5620</v>
      </c>
      <c r="D1873" s="3" t="str">
        <f ca="1">IFERROR(__xludf.DUMMYFUNCTION("GOOGLETRANSLATE(A1873,""fr"",""en"")"),"pyre")</f>
        <v>pyre</v>
      </c>
      <c r="E1873" s="3" t="str">
        <f ca="1">IFERROR(__xludf.DUMMYFUNCTION("GOOGLETRANSLATE(B1873,""fr"",""en"")"),"You have to study hard to pass your exams.")</f>
        <v>You have to study hard to pass your exams.</v>
      </c>
    </row>
    <row r="1874" spans="1:5" x14ac:dyDescent="0.25">
      <c r="A1874" s="2" t="s">
        <v>5621</v>
      </c>
      <c r="B1874" s="2" t="s">
        <v>5622</v>
      </c>
      <c r="C1874" s="3" t="s">
        <v>5623</v>
      </c>
      <c r="D1874" s="3" t="str">
        <f ca="1">IFERROR(__xludf.DUMMYFUNCTION("GOOGLETRANSLATE(A1874,""fr"",""en"")"),"extrude")</f>
        <v>extrude</v>
      </c>
      <c r="E1874" s="3" t="str">
        <f ca="1">IFERROR(__xludf.DUMMYFUNCTION("GOOGLETRANSLATE(B1874,""fr"",""en"")"),"It will extrude the metal to form the part.")</f>
        <v>It will extrude the metal to form the part.</v>
      </c>
    </row>
    <row r="1875" spans="1:5" x14ac:dyDescent="0.25">
      <c r="A1875" s="2" t="s">
        <v>5624</v>
      </c>
      <c r="B1875" s="2" t="s">
        <v>5625</v>
      </c>
      <c r="C1875" s="3" t="s">
        <v>5626</v>
      </c>
      <c r="D1875" s="3" t="str">
        <f ca="1">IFERROR(__xludf.DUMMYFUNCTION("GOOGLETRANSLATE(A1875,""fr"",""en"")"),"make up")</f>
        <v>make up</v>
      </c>
      <c r="E1875" s="3" t="str">
        <f ca="1">IFERROR(__xludf.DUMMYFUNCTION("GOOGLETRANSLATE(B1875,""fr"",""en"")"),"She likes to put on makeup before going out.")</f>
        <v>She likes to put on makeup before going out.</v>
      </c>
    </row>
    <row r="1876" spans="1:5" x14ac:dyDescent="0.25">
      <c r="A1876" s="2" t="s">
        <v>5627</v>
      </c>
      <c r="B1876" s="2" t="s">
        <v>5628</v>
      </c>
      <c r="C1876" s="3" t="s">
        <v>5629</v>
      </c>
      <c r="D1876" s="3" t="str">
        <f ca="1">IFERROR(__xludf.DUMMYFUNCTION("GOOGLETRANSLATE(A1876,""fr"",""en"")"),"fly over")</f>
        <v>fly over</v>
      </c>
      <c r="E1876" s="3" t="str">
        <f ca="1">IFERROR(__xludf.DUMMYFUNCTION("GOOGLETRANSLATE(B1876,""fr"",""en"")"),"The plane will fly over the mountains before landing.")</f>
        <v>The plane will fly over the mountains before landing.</v>
      </c>
    </row>
    <row r="1877" spans="1:5" x14ac:dyDescent="0.25">
      <c r="A1877" s="2" t="s">
        <v>5630</v>
      </c>
      <c r="B1877" s="2" t="s">
        <v>5631</v>
      </c>
      <c r="C1877" s="3" t="s">
        <v>5632</v>
      </c>
      <c r="D1877" s="3" t="str">
        <f ca="1">IFERROR(__xludf.DUMMYFUNCTION("GOOGLETRANSLATE(A1877,""fr"",""en"")"),"unmask")</f>
        <v>unmask</v>
      </c>
      <c r="E1877" s="3" t="str">
        <f ca="1">IFERROR(__xludf.DUMMYFUNCTION("GOOGLETRANSLATE(B1877,""fr"",""en"")"),"The detective finally unmasked the culprit.")</f>
        <v>The detective finally unmasked the culprit.</v>
      </c>
    </row>
    <row r="1878" spans="1:5" x14ac:dyDescent="0.25">
      <c r="A1878" s="2" t="s">
        <v>5633</v>
      </c>
      <c r="B1878" s="2" t="s">
        <v>5634</v>
      </c>
      <c r="C1878" s="3" t="s">
        <v>5635</v>
      </c>
      <c r="D1878" s="3" t="str">
        <f ca="1">IFERROR(__xludf.DUMMYFUNCTION("GOOGLETRANSLATE(A1878,""fr"",""en"")"),"drag and drop")</f>
        <v>drag and drop</v>
      </c>
      <c r="E1878" s="3" t="str">
        <f ca="1">IFERROR(__xludf.DUMMYFUNCTION("GOOGLETRANSLATE(B1878,""fr"",""en"")"),"Drag and drop makes it easy to move files around the computer.")</f>
        <v>Drag and drop makes it easy to move files around the computer.</v>
      </c>
    </row>
    <row r="1879" spans="1:5" x14ac:dyDescent="0.25">
      <c r="A1879" s="2" t="s">
        <v>5636</v>
      </c>
      <c r="B1879" s="2" t="s">
        <v>5637</v>
      </c>
      <c r="C1879" s="3" t="s">
        <v>5638</v>
      </c>
      <c r="D1879" s="3" t="str">
        <f ca="1">IFERROR(__xludf.DUMMYFUNCTION("GOOGLETRANSLATE(A1879,""fr"",""en"")"),"solidify")</f>
        <v>solidify</v>
      </c>
      <c r="E1879" s="3" t="str">
        <f ca="1">IFERROR(__xludf.DUMMYFUNCTION("GOOGLETRANSLATE(B1879,""fr"",""en"")"),"Reinforced concrete makes it possible to solidify structures.")</f>
        <v>Reinforced concrete makes it possible to solidify structures.</v>
      </c>
    </row>
    <row r="1880" spans="1:5" x14ac:dyDescent="0.25">
      <c r="A1880" s="2" t="s">
        <v>5639</v>
      </c>
      <c r="B1880" s="2" t="s">
        <v>5640</v>
      </c>
      <c r="C1880" s="3" t="s">
        <v>5641</v>
      </c>
      <c r="D1880" s="3" t="str">
        <f ca="1">IFERROR(__xludf.DUMMYFUNCTION("GOOGLETRANSLATE(A1880,""fr"",""en"")"),"shorten")</f>
        <v>shorten</v>
      </c>
      <c r="E1880" s="3" t="str">
        <f ca="1">IFERROR(__xludf.DUMMYFUNCTION("GOOGLETRANSLATE(B1880,""fr"",""en"")"),"To save time, he will shorten his speech.")</f>
        <v>To save time, he will shorten his speech.</v>
      </c>
    </row>
    <row r="1881" spans="1:5" x14ac:dyDescent="0.25">
      <c r="A1881" s="2" t="s">
        <v>5642</v>
      </c>
      <c r="B1881" s="2" t="s">
        <v>5643</v>
      </c>
      <c r="C1881" s="3" t="s">
        <v>5644</v>
      </c>
      <c r="D1881" s="3" t="str">
        <f ca="1">IFERROR(__xludf.DUMMYFUNCTION("GOOGLETRANSLATE(A1881,""fr"",""en"")"),"excel")</f>
        <v>excel</v>
      </c>
      <c r="E1881" s="3" t="str">
        <f ca="1">IFERROR(__xludf.DUMMYFUNCTION("GOOGLETRANSLATE(B1881,""fr"",""en"")"),"He has always excelled in his studies since childhood.")</f>
        <v>He has always excelled in his studies since childhood.</v>
      </c>
    </row>
    <row r="1882" spans="1:5" x14ac:dyDescent="0.25">
      <c r="A1882" s="2" t="s">
        <v>5645</v>
      </c>
      <c r="B1882" s="2" t="s">
        <v>5646</v>
      </c>
      <c r="C1882" s="3" t="s">
        <v>5647</v>
      </c>
      <c r="D1882" s="3" t="str">
        <f ca="1">IFERROR(__xludf.DUMMYFUNCTION("GOOGLETRANSLATE(A1882,""fr"",""en"")"),"to shoe")</f>
        <v>to shoe</v>
      </c>
      <c r="E1882" s="3" t="str">
        <f ca="1">IFERROR(__xludf.DUMMYFUNCTION("GOOGLETRANSLATE(B1882,""fr"",""en"")"),"They will shoe the horses before the race.")</f>
        <v>They will shoe the horses before the race.</v>
      </c>
    </row>
    <row r="1883" spans="1:5" x14ac:dyDescent="0.25">
      <c r="A1883" s="2" t="s">
        <v>5648</v>
      </c>
      <c r="B1883" s="2" t="s">
        <v>5649</v>
      </c>
      <c r="C1883" s="3" t="s">
        <v>5650</v>
      </c>
      <c r="D1883" s="3" t="str">
        <f ca="1">IFERROR(__xludf.DUMMYFUNCTION("GOOGLETRANSLATE(A1883,""fr"",""en"")"),"to bloody")</f>
        <v>to bloody</v>
      </c>
      <c r="E1883" s="3" t="str">
        <f ca="1">IFERROR(__xludf.DUMMYFUNCTION("GOOGLETRANSLATE(B1883,""fr"",""en"")"),"The heinous crime left the small town bloodied.")</f>
        <v>The heinous crime left the small town bloodied.</v>
      </c>
    </row>
    <row r="1884" spans="1:5" x14ac:dyDescent="0.25">
      <c r="A1884" s="2" t="s">
        <v>5651</v>
      </c>
      <c r="B1884" s="2" t="s">
        <v>5652</v>
      </c>
      <c r="C1884" s="3" t="s">
        <v>5653</v>
      </c>
      <c r="D1884" s="3" t="str">
        <f ca="1">IFERROR(__xludf.DUMMYFUNCTION("GOOGLETRANSLATE(A1884,""fr"",""en"")"),"to snoop")</f>
        <v>to snoop</v>
      </c>
      <c r="E1884" s="3" t="str">
        <f ca="1">IFERROR(__xludf.DUMMYFUNCTION("GOOGLETRANSLATE(B1884,""fr"",""en"")"),"He likes to rummage around in shops looking for bargains.")</f>
        <v>He likes to rummage around in shops looking for bargains.</v>
      </c>
    </row>
    <row r="1885" spans="1:5" x14ac:dyDescent="0.25">
      <c r="A1885" s="2" t="s">
        <v>5654</v>
      </c>
      <c r="B1885" s="2" t="s">
        <v>5655</v>
      </c>
      <c r="C1885" s="3" t="s">
        <v>5656</v>
      </c>
      <c r="D1885" s="3" t="str">
        <f ca="1">IFERROR(__xludf.DUMMYFUNCTION("GOOGLETRANSLATE(A1885,""fr"",""en"")"),"transcend")</f>
        <v>transcend</v>
      </c>
      <c r="E1885" s="3" t="str">
        <f ca="1">IFERROR(__xludf.DUMMYFUNCTION("GOOGLETRANSLATE(B1885,""fr"",""en"")"),"His actions transcend national borders.")</f>
        <v>His actions transcend national borders.</v>
      </c>
    </row>
    <row r="1886" spans="1:5" x14ac:dyDescent="0.25">
      <c r="A1886" s="2" t="s">
        <v>5657</v>
      </c>
      <c r="B1886" s="2" t="s">
        <v>5658</v>
      </c>
      <c r="C1886" s="3" t="s">
        <v>5659</v>
      </c>
      <c r="D1886" s="3" t="str">
        <f ca="1">IFERROR(__xludf.DUMMYFUNCTION("GOOGLETRANSLATE(A1886,""fr"",""en"")"),"confuse")</f>
        <v>confuse</v>
      </c>
      <c r="E1886" s="3" t="str">
        <f ca="1">IFERROR(__xludf.DUMMYFUNCTION("GOOGLETRANSLATE(B1886,""fr"",""en"")"),"This situation will confuse things even more.")</f>
        <v>This situation will confuse things even more.</v>
      </c>
    </row>
    <row r="1887" spans="1:5" x14ac:dyDescent="0.25">
      <c r="A1887" s="2" t="s">
        <v>5660</v>
      </c>
      <c r="B1887" s="2" t="s">
        <v>5661</v>
      </c>
      <c r="C1887" s="3" t="s">
        <v>5662</v>
      </c>
      <c r="D1887" s="3" t="str">
        <f ca="1">IFERROR(__xludf.DUMMYFUNCTION("GOOGLETRANSLATE(A1887,""fr"",""en"")"),"prioritize")</f>
        <v>prioritize</v>
      </c>
      <c r="E1887" s="3" t="str">
        <f ca="1">IFERROR(__xludf.DUMMYFUNCTION("GOOGLETRANSLATE(B1887,""fr"",""en"")"),"Tasks should be prioritized according to their importance.")</f>
        <v>Tasks should be prioritized according to their importance.</v>
      </c>
    </row>
    <row r="1888" spans="1:5" x14ac:dyDescent="0.25">
      <c r="A1888" s="2" t="s">
        <v>5663</v>
      </c>
      <c r="B1888" s="2" t="s">
        <v>5664</v>
      </c>
      <c r="C1888" s="3" t="s">
        <v>5665</v>
      </c>
      <c r="D1888" s="3" t="str">
        <f ca="1">IFERROR(__xludf.DUMMYFUNCTION("GOOGLETRANSLATE(A1888,""fr"",""en"")"),"hem")</f>
        <v>hem</v>
      </c>
      <c r="E1888" s="3" t="str">
        <f ca="1">IFERROR(__xludf.DUMMYFUNCTION("GOOGLETRANSLATE(B1888,""fr"",""en"")"),"She will hem the dress to make it more elegant.")</f>
        <v>She will hem the dress to make it more elegant.</v>
      </c>
    </row>
    <row r="1889" spans="1:5" x14ac:dyDescent="0.25">
      <c r="A1889" s="2" t="s">
        <v>5666</v>
      </c>
      <c r="B1889" s="2" t="s">
        <v>5667</v>
      </c>
      <c r="C1889" s="3" t="s">
        <v>5668</v>
      </c>
      <c r="D1889" s="3" t="str">
        <f ca="1">IFERROR(__xludf.DUMMYFUNCTION("GOOGLETRANSLATE(A1889,""fr"",""en"")"),"to strike off")</f>
        <v>to strike off</v>
      </c>
      <c r="E1889" s="3" t="str">
        <f ca="1">IFERROR(__xludf.DUMMYFUNCTION("GOOGLETRANSLATE(B1889,""fr"",""en"")"),"The court will disbar the lawyer for professional misconduct.")</f>
        <v>The court will disbar the lawyer for professional misconduct.</v>
      </c>
    </row>
    <row r="1890" spans="1:5" x14ac:dyDescent="0.25">
      <c r="A1890" s="2" t="s">
        <v>5669</v>
      </c>
      <c r="B1890" s="2" t="s">
        <v>5670</v>
      </c>
      <c r="C1890" s="3" t="s">
        <v>5671</v>
      </c>
      <c r="D1890" s="3" t="str">
        <f ca="1">IFERROR(__xludf.DUMMYFUNCTION("GOOGLETRANSLATE(A1890,""fr"",""en"")"),"to unload")</f>
        <v>to unload</v>
      </c>
      <c r="E1890" s="3" t="str">
        <f ca="1">IFERROR(__xludf.DUMMYFUNCTION("GOOGLETRANSLATE(B1890,""fr"",""en"")"),"He decided to help haul timber from the forest.")</f>
        <v>He decided to help haul timber from the forest.</v>
      </c>
    </row>
    <row r="1891" spans="1:5" x14ac:dyDescent="0.25">
      <c r="A1891" s="2" t="s">
        <v>5672</v>
      </c>
      <c r="B1891" s="2" t="s">
        <v>5673</v>
      </c>
      <c r="C1891" s="3" t="s">
        <v>5674</v>
      </c>
      <c r="D1891" s="3" t="str">
        <f ca="1">IFERROR(__xludf.DUMMYFUNCTION("GOOGLETRANSLATE(A1891,""fr"",""en"")"),"knock out")</f>
        <v>knock out</v>
      </c>
      <c r="E1891" s="3" t="str">
        <f ca="1">IFERROR(__xludf.DUMMYFUNCTION("GOOGLETRANSLATE(B1891,""fr"",""en"")"),"The violent blow knocked him unconscious for a few moments.")</f>
        <v>The violent blow knocked him unconscious for a few moments.</v>
      </c>
    </row>
    <row r="1892" spans="1:5" x14ac:dyDescent="0.25">
      <c r="A1892" s="2" t="s">
        <v>5675</v>
      </c>
      <c r="B1892" s="2" t="s">
        <v>5676</v>
      </c>
      <c r="C1892" s="3" t="s">
        <v>5677</v>
      </c>
      <c r="D1892" s="3" t="str">
        <f ca="1">IFERROR(__xludf.DUMMYFUNCTION("GOOGLETRANSLATE(A1892,""fr"",""en"")"),"alternate")</f>
        <v>alternate</v>
      </c>
      <c r="E1892" s="3" t="str">
        <f ca="1">IFERROR(__xludf.DUMMYFUNCTION("GOOGLETRANSLATE(B1892,""fr"",""en"")"),"The two friends will alternate household chores.")</f>
        <v>The two friends will alternate household chores.</v>
      </c>
    </row>
    <row r="1893" spans="1:5" x14ac:dyDescent="0.25">
      <c r="A1893" s="2" t="s">
        <v>5678</v>
      </c>
      <c r="B1893" s="2" t="s">
        <v>5679</v>
      </c>
      <c r="C1893" s="3" t="s">
        <v>5680</v>
      </c>
      <c r="D1893" s="3" t="str">
        <f ca="1">IFERROR(__xludf.DUMMYFUNCTION("GOOGLETRANSLATE(A1893,""fr"",""en"")"),"rub shoulders")</f>
        <v>rub shoulders</v>
      </c>
      <c r="E1893" s="3" t="str">
        <f ca="1">IFERROR(__xludf.DUMMYFUNCTION("GOOGLETRANSLATE(B1893,""fr"",""en"")"),"He enjoys being around inspiring people.")</f>
        <v>He enjoys being around inspiring people.</v>
      </c>
    </row>
    <row r="1894" spans="1:5" x14ac:dyDescent="0.25">
      <c r="A1894" s="2" t="s">
        <v>5681</v>
      </c>
      <c r="B1894" s="2" t="s">
        <v>5682</v>
      </c>
      <c r="C1894" s="3" t="s">
        <v>5683</v>
      </c>
      <c r="D1894" s="3" t="str">
        <f ca="1">IFERROR(__xludf.DUMMYFUNCTION("GOOGLETRANSLATE(A1894,""fr"",""en"")"),"to retain")</f>
        <v>to retain</v>
      </c>
      <c r="E1894" s="3" t="str">
        <f ca="1">IFERROR(__xludf.DUMMYFUNCTION("GOOGLETRANSLATE(B1894,""fr"",""en"")"),"Providing excellent after-sales service helps build customer loyalty.")</f>
        <v>Providing excellent after-sales service helps build customer loyalty.</v>
      </c>
    </row>
    <row r="1895" spans="1:5" x14ac:dyDescent="0.25">
      <c r="A1895" s="2" t="s">
        <v>5684</v>
      </c>
      <c r="B1895" s="2" t="s">
        <v>5685</v>
      </c>
      <c r="C1895" s="3" t="s">
        <v>5686</v>
      </c>
      <c r="D1895" s="3" t="str">
        <f ca="1">IFERROR(__xludf.DUMMYFUNCTION("GOOGLETRANSLATE(A1895,""fr"",""en"")"),"shrink")</f>
        <v>shrink</v>
      </c>
      <c r="E1895" s="3" t="str">
        <f ca="1">IFERROR(__xludf.DUMMYFUNCTION("GOOGLETRANSLATE(B1895,""fr"",""en"")"),"The sweater shrank after being washed at high temperature.")</f>
        <v>The sweater shrank after being washed at high temperature.</v>
      </c>
    </row>
    <row r="1896" spans="1:5" x14ac:dyDescent="0.25">
      <c r="A1896" s="2" t="s">
        <v>5687</v>
      </c>
      <c r="B1896" s="2" t="s">
        <v>5688</v>
      </c>
      <c r="C1896" s="3" t="s">
        <v>5689</v>
      </c>
      <c r="D1896" s="3" t="str">
        <f ca="1">IFERROR(__xludf.DUMMYFUNCTION("GOOGLETRANSLATE(A1896,""fr"",""en"")"),"evaporate")</f>
        <v>evaporate</v>
      </c>
      <c r="E1896" s="3" t="str">
        <f ca="1">IFERROR(__xludf.DUMMYFUNCTION("GOOGLETRANSLATE(B1896,""fr"",""en"")"),"The heat will quickly evaporate the water in the pan.")</f>
        <v>The heat will quickly evaporate the water in the pan.</v>
      </c>
    </row>
    <row r="1897" spans="1:5" x14ac:dyDescent="0.25">
      <c r="A1897" s="2" t="s">
        <v>5690</v>
      </c>
      <c r="B1897" s="2" t="s">
        <v>5691</v>
      </c>
      <c r="C1897" s="3" t="s">
        <v>5692</v>
      </c>
      <c r="D1897" s="3" t="str">
        <f ca="1">IFERROR(__xludf.DUMMYFUNCTION("GOOGLETRANSLATE(A1897,""fr"",""en"")"),"exonerate")</f>
        <v>exonerate</v>
      </c>
      <c r="E1897" s="3" t="str">
        <f ca="1">IFERROR(__xludf.DUMMYFUNCTION("GOOGLETRANSLATE(B1897,""fr"",""en"")"),"The jury decided to exonerate the defendant from the charges against him.")</f>
        <v>The jury decided to exonerate the defendant from the charges against him.</v>
      </c>
    </row>
    <row r="1898" spans="1:5" x14ac:dyDescent="0.25">
      <c r="A1898" s="2" t="s">
        <v>5693</v>
      </c>
      <c r="B1898" s="2" t="s">
        <v>5694</v>
      </c>
      <c r="C1898" s="3" t="s">
        <v>5695</v>
      </c>
      <c r="D1898" s="3" t="str">
        <f ca="1">IFERROR(__xludf.DUMMYFUNCTION("GOOGLETRANSLATE(A1898,""fr"",""en"")"),"image")</f>
        <v>image</v>
      </c>
      <c r="E1898" s="3" t="str">
        <f ca="1">IFERROR(__xludf.DUMMYFUNCTION("GOOGLETRANSLATE(B1898,""fr"",""en"")"),"She loves to depict romantic scenes in her novels.")</f>
        <v>She loves to depict romantic scenes in her novels.</v>
      </c>
    </row>
    <row r="1899" spans="1:5" x14ac:dyDescent="0.25">
      <c r="A1899" s="2" t="s">
        <v>5696</v>
      </c>
      <c r="B1899" s="2" t="s">
        <v>5697</v>
      </c>
      <c r="C1899" s="3" t="s">
        <v>5698</v>
      </c>
      <c r="D1899" s="3" t="str">
        <f ca="1">IFERROR(__xludf.DUMMYFUNCTION("GOOGLETRANSLATE(A1899,""fr"",""en"")"),"tender")</f>
        <v>tender</v>
      </c>
      <c r="E1899" s="3" t="str">
        <f ca="1">IFERROR(__xludf.DUMMYFUNCTION("GOOGLETRANSLATE(B1899,""fr"",""en"")"),"He will bid to win the construction contract.")</f>
        <v>He will bid to win the construction contract.</v>
      </c>
    </row>
    <row r="1900" spans="1:5" x14ac:dyDescent="0.25">
      <c r="A1900" s="2" t="s">
        <v>5699</v>
      </c>
      <c r="B1900" s="2" t="s">
        <v>5700</v>
      </c>
      <c r="C1900" s="3" t="s">
        <v>5701</v>
      </c>
      <c r="D1900" s="3" t="str">
        <f ca="1">IFERROR(__xludf.DUMMYFUNCTION("GOOGLETRANSLATE(A1900,""fr"",""en"")"),"to provide")</f>
        <v>to provide</v>
      </c>
      <c r="E1900" s="3" t="str">
        <f ca="1">IFERROR(__xludf.DUMMYFUNCTION("GOOGLETRANSLATE(B1900,""fr"",""en"")"),"Employees must be provided with the necessary tools for their work.")</f>
        <v>Employees must be provided with the necessary tools for their work.</v>
      </c>
    </row>
    <row r="1901" spans="1:5" x14ac:dyDescent="0.25">
      <c r="A1901" s="2" t="s">
        <v>5702</v>
      </c>
      <c r="B1901" s="2" t="s">
        <v>5703</v>
      </c>
      <c r="C1901" s="3" t="s">
        <v>5704</v>
      </c>
      <c r="D1901" s="3" t="str">
        <f ca="1">IFERROR(__xludf.DUMMYFUNCTION("GOOGLETRANSLATE(A1901,""fr"",""en"")"),"moisturize")</f>
        <v>moisturize</v>
      </c>
      <c r="E1901" s="3" t="str">
        <f ca="1">IFERROR(__xludf.DUMMYFUNCTION("GOOGLETRANSLATE(B1901,""fr"",""en"")"),"After a day in the sun, it is important to hydrate well.")</f>
        <v>After a day in the sun, it is important to hydrate well.</v>
      </c>
    </row>
    <row r="1902" spans="1:5" x14ac:dyDescent="0.25">
      <c r="A1902" s="2" t="s">
        <v>5705</v>
      </c>
      <c r="B1902" s="2" t="s">
        <v>5706</v>
      </c>
      <c r="C1902" s="3" t="s">
        <v>5707</v>
      </c>
      <c r="D1902" s="3" t="str">
        <f ca="1">IFERROR(__xludf.DUMMYFUNCTION("GOOGLETRANSLATE(A1902,""fr"",""en"")"),"brush")</f>
        <v>brush</v>
      </c>
      <c r="E1902" s="3" t="str">
        <f ca="1">IFERROR(__xludf.DUMMYFUNCTION("GOOGLETRANSLATE(B1902,""fr"",""en"")"),"She likes to brush her long hair every morning.")</f>
        <v>She likes to brush her long hair every morning.</v>
      </c>
    </row>
    <row r="1903" spans="1:5" x14ac:dyDescent="0.25">
      <c r="A1903" s="2" t="s">
        <v>5708</v>
      </c>
      <c r="B1903" s="2" t="s">
        <v>5709</v>
      </c>
      <c r="C1903" s="3" t="s">
        <v>5710</v>
      </c>
      <c r="D1903" s="3" t="str">
        <f ca="1">IFERROR(__xludf.DUMMYFUNCTION("GOOGLETRANSLATE(A1903,""fr"",""en"")"),"to outrage")</f>
        <v>to outrage</v>
      </c>
      <c r="E1903" s="3" t="str">
        <f ca="1">IFERROR(__xludf.DUMMYFUNCTION("GOOGLETRANSLATE(B1903,""fr"",""en"")"),"His behavior outraged his colleagues at the meeting.")</f>
        <v>His behavior outraged his colleagues at the meeting.</v>
      </c>
    </row>
    <row r="1904" spans="1:5" x14ac:dyDescent="0.25">
      <c r="A1904" s="2" t="s">
        <v>5711</v>
      </c>
      <c r="B1904" s="2" t="s">
        <v>5712</v>
      </c>
      <c r="C1904" s="3" t="s">
        <v>5713</v>
      </c>
      <c r="D1904" s="3" t="str">
        <f ca="1">IFERROR(__xludf.DUMMYFUNCTION("GOOGLETRANSLATE(A1904,""fr"",""en"")"),"fold down")</f>
        <v>fold down</v>
      </c>
      <c r="E1904" s="3" t="str">
        <f ca="1">IFERROR(__xludf.DUMMYFUNCTION("GOOGLETRANSLATE(B1904,""fr"",""en"")"),"The farmer drove the sheep into the pen before dark.")</f>
        <v>The farmer drove the sheep into the pen before dark.</v>
      </c>
    </row>
    <row r="1905" spans="1:5" x14ac:dyDescent="0.25">
      <c r="A1905" s="2" t="s">
        <v>5714</v>
      </c>
      <c r="B1905" s="2" t="s">
        <v>5715</v>
      </c>
      <c r="C1905" s="3" t="s">
        <v>5716</v>
      </c>
      <c r="D1905" s="3" t="str">
        <f ca="1">IFERROR(__xludf.DUMMYFUNCTION("GOOGLETRANSLATE(A1905,""fr"",""en"")"),"to push")</f>
        <v>to push</v>
      </c>
      <c r="E1905" s="3" t="str">
        <f ca="1">IFERROR(__xludf.DUMMYFUNCTION("GOOGLETRANSLATE(B1905,""fr"",""en"")"),"The fans pushed the barriers to celebrate the victory.")</f>
        <v>The fans pushed the barriers to celebrate the victory.</v>
      </c>
    </row>
    <row r="1906" spans="1:5" x14ac:dyDescent="0.25">
      <c r="A1906" s="2" t="s">
        <v>5717</v>
      </c>
      <c r="B1906" s="2" t="s">
        <v>5718</v>
      </c>
      <c r="C1906" s="3" t="s">
        <v>5719</v>
      </c>
      <c r="D1906" s="3" t="str">
        <f ca="1">IFERROR(__xludf.DUMMYFUNCTION("GOOGLETRANSLATE(A1906,""fr"",""en"")"),"graft")</f>
        <v>graft</v>
      </c>
      <c r="E1906" s="3" t="str">
        <f ca="1">IFERROR(__xludf.DUMMYFUNCTION("GOOGLETRANSLATE(B1906,""fr"",""en"")"),"Horticulturists have grafted new varieties of roses.")</f>
        <v>Horticulturists have grafted new varieties of roses.</v>
      </c>
    </row>
    <row r="1907" spans="1:5" x14ac:dyDescent="0.25">
      <c r="A1907" s="2" t="s">
        <v>5720</v>
      </c>
      <c r="B1907" s="2" t="s">
        <v>5721</v>
      </c>
      <c r="C1907" s="3" t="s">
        <v>5722</v>
      </c>
      <c r="D1907" s="3" t="str">
        <f ca="1">IFERROR(__xludf.DUMMYFUNCTION("GOOGLETRANSLATE(A1907,""fr"",""en"")"),"twist")</f>
        <v>twist</v>
      </c>
      <c r="E1907" s="3" t="str">
        <f ca="1">IFERROR(__xludf.DUMMYFUNCTION("GOOGLETRANSLATE(B1907,""fr"",""en"")"),"You have to twist the tube to get all the toothpaste out.")</f>
        <v>You have to twist the tube to get all the toothpaste out.</v>
      </c>
    </row>
    <row r="1908" spans="1:5" x14ac:dyDescent="0.25">
      <c r="A1908" s="2" t="s">
        <v>5723</v>
      </c>
      <c r="B1908" s="2" t="s">
        <v>5724</v>
      </c>
      <c r="C1908" s="3" t="s">
        <v>5725</v>
      </c>
      <c r="D1908" s="3" t="str">
        <f ca="1">IFERROR(__xludf.DUMMYFUNCTION("GOOGLETRANSLATE(A1908,""fr"",""en"")"),"franchise")</f>
        <v>franchise</v>
      </c>
      <c r="E1908" s="3" t="str">
        <f ca="1">IFERROR(__xludf.DUMMYFUNCTION("GOOGLETRANSLATE(B1908,""fr"",""en"")"),"Franchising allows businesses to grow quickly.")</f>
        <v>Franchising allows businesses to grow quickly.</v>
      </c>
    </row>
    <row r="1909" spans="1:5" x14ac:dyDescent="0.25">
      <c r="A1909" s="2" t="s">
        <v>5726</v>
      </c>
      <c r="B1909" s="2" t="s">
        <v>5727</v>
      </c>
      <c r="C1909" s="3" t="s">
        <v>5728</v>
      </c>
      <c r="D1909" s="3" t="str">
        <f ca="1">IFERROR(__xludf.DUMMYFUNCTION("GOOGLETRANSLATE(A1909,""fr"",""en"")"),"to tackle")</f>
        <v>to tackle</v>
      </c>
      <c r="E1909" s="3" t="str">
        <f ca="1">IFERROR(__xludf.DUMMYFUNCTION("GOOGLETRANSLATE(B1909,""fr"",""en"")"),"She tackled her opponent to the ground during the rugby match.")</f>
        <v>She tackled her opponent to the ground during the rugby match.</v>
      </c>
    </row>
    <row r="1910" spans="1:5" x14ac:dyDescent="0.25">
      <c r="A1910" s="2" t="s">
        <v>5729</v>
      </c>
      <c r="B1910" s="2" t="s">
        <v>5730</v>
      </c>
      <c r="C1910" s="3" t="s">
        <v>5731</v>
      </c>
      <c r="D1910" s="3" t="str">
        <f ca="1">IFERROR(__xludf.DUMMYFUNCTION("GOOGLETRANSLATE(A1910,""fr"",""en"")"),"retract")</f>
        <v>retract</v>
      </c>
      <c r="E1910" s="3" t="str">
        <f ca="1">IFERROR(__xludf.DUMMYFUNCTION("GOOGLETRANSLATE(B1910,""fr"",""en"")"),"Faced with criticism, he preferred to retract his remarks.")</f>
        <v>Faced with criticism, he preferred to retract his remarks.</v>
      </c>
    </row>
    <row r="1911" spans="1:5" x14ac:dyDescent="0.25">
      <c r="A1911" s="2" t="s">
        <v>5732</v>
      </c>
      <c r="B1911" s="2" t="s">
        <v>5733</v>
      </c>
      <c r="C1911" s="3" t="s">
        <v>5734</v>
      </c>
      <c r="D1911" s="3" t="str">
        <f ca="1">IFERROR(__xludf.DUMMYFUNCTION("GOOGLETRANSLATE(A1911,""fr"",""en"")"),"dig up")</f>
        <v>dig up</v>
      </c>
      <c r="E1911" s="3" t="str">
        <f ca="1">IFERROR(__xludf.DUMMYFUNCTION("GOOGLETRANSLATE(B1911,""fr"",""en"")"),"Archaeologists have managed to unearth ancient remains.")</f>
        <v>Archaeologists have managed to unearth ancient remains.</v>
      </c>
    </row>
    <row r="1912" spans="1:5" x14ac:dyDescent="0.25">
      <c r="A1912" s="2" t="s">
        <v>5735</v>
      </c>
      <c r="B1912" s="2" t="s">
        <v>5736</v>
      </c>
      <c r="C1912" s="3" t="s">
        <v>5737</v>
      </c>
      <c r="D1912" s="3" t="str">
        <f ca="1">IFERROR(__xludf.DUMMYFUNCTION("GOOGLETRANSLATE(A1912,""fr"",""en"")"),"strip")</f>
        <v>strip</v>
      </c>
      <c r="E1912" s="3" t="str">
        <f ca="1">IFERROR(__xludf.DUMMYFUNCTION("GOOGLETRANSLATE(B1912,""fr"",""en"")"),"The thieves stripped the house of its valuables.")</f>
        <v>The thieves stripped the house of its valuables.</v>
      </c>
    </row>
    <row r="1913" spans="1:5" x14ac:dyDescent="0.25">
      <c r="A1913" s="2" t="s">
        <v>5738</v>
      </c>
      <c r="B1913" s="2" t="s">
        <v>5739</v>
      </c>
      <c r="C1913" s="3" t="s">
        <v>5740</v>
      </c>
      <c r="D1913" s="3" t="str">
        <f ca="1">IFERROR(__xludf.DUMMYFUNCTION("GOOGLETRANSLATE(A1913,""fr"",""en"")"),"hoist")</f>
        <v>hoist</v>
      </c>
      <c r="E1913" s="3" t="str">
        <f ca="1">IFERROR(__xludf.DUMMYFUNCTION("GOOGLETRANSLATE(B1913,""fr"",""en"")"),"He proudly raised the flag to the top of the mast.")</f>
        <v>He proudly raised the flag to the top of the mast.</v>
      </c>
    </row>
    <row r="1914" spans="1:5" x14ac:dyDescent="0.25">
      <c r="A1914" s="2" t="s">
        <v>5741</v>
      </c>
      <c r="B1914" s="2" t="s">
        <v>5742</v>
      </c>
      <c r="C1914" s="3" t="s">
        <v>5743</v>
      </c>
      <c r="D1914" s="3" t="str">
        <f ca="1">IFERROR(__xludf.DUMMYFUNCTION("GOOGLETRANSLATE(A1914,""fr"",""en"")"),"collect")</f>
        <v>collect</v>
      </c>
      <c r="E1914" s="3" t="str">
        <f ca="1">IFERROR(__xludf.DUMMYFUNCTION("GOOGLETRANSLATE(B1914,""fr"",""en"")"),"He has loved collecting stamps since his childhood.")</f>
        <v>He has loved collecting stamps since his childhood.</v>
      </c>
    </row>
    <row r="1915" spans="1:5" x14ac:dyDescent="0.25">
      <c r="A1915" s="2" t="s">
        <v>5744</v>
      </c>
      <c r="B1915" s="2" t="s">
        <v>5745</v>
      </c>
      <c r="C1915" s="3" t="s">
        <v>5746</v>
      </c>
      <c r="D1915" s="3" t="str">
        <f ca="1">IFERROR(__xludf.DUMMYFUNCTION("GOOGLETRANSLATE(A1915,""fr"",""en"")"),"decrease")</f>
        <v>decrease</v>
      </c>
      <c r="E1915" s="3" t="str">
        <f ca="1">IFERROR(__xludf.DUMMYFUNCTION("GOOGLETRANSLATE(B1915,""fr"",""en"")"),"Demand for this product began to decline.")</f>
        <v>Demand for this product began to decline.</v>
      </c>
    </row>
    <row r="1916" spans="1:5" x14ac:dyDescent="0.25">
      <c r="A1916" s="2" t="s">
        <v>5747</v>
      </c>
      <c r="B1916" s="2" t="s">
        <v>5748</v>
      </c>
      <c r="C1916" s="3" t="s">
        <v>5749</v>
      </c>
      <c r="D1916" s="3" t="str">
        <f ca="1">IFERROR(__xludf.DUMMYFUNCTION("GOOGLETRANSLATE(A1916,""fr"",""en"")"),"undress")</f>
        <v>undress</v>
      </c>
      <c r="E1916" s="3" t="str">
        <f ca="1">IFERROR(__xludf.DUMMYFUNCTION("GOOGLETRANSLATE(B1916,""fr"",""en"")"),"She slowly undresses before entering the shower.")</f>
        <v>She slowly undresses before entering the shower.</v>
      </c>
    </row>
    <row r="1917" spans="1:5" x14ac:dyDescent="0.25">
      <c r="A1917" s="2" t="s">
        <v>5750</v>
      </c>
      <c r="B1917" s="2" t="s">
        <v>5751</v>
      </c>
      <c r="C1917" s="3" t="s">
        <v>5752</v>
      </c>
      <c r="D1917" s="3" t="str">
        <f ca="1">IFERROR(__xludf.DUMMYFUNCTION("GOOGLETRANSLATE(A1917,""fr"",""en"")"),"untangle")</f>
        <v>untangle</v>
      </c>
      <c r="E1917" s="3" t="str">
        <f ca="1">IFERROR(__xludf.DUMMYFUNCTION("GOOGLETRANSLATE(B1917,""fr"",""en"")"),"You need to untangle the tangled wires of the headphones.")</f>
        <v>You need to untangle the tangled wires of the headphones.</v>
      </c>
    </row>
    <row r="1918" spans="1:5" x14ac:dyDescent="0.25">
      <c r="A1918" s="2" t="s">
        <v>5753</v>
      </c>
      <c r="B1918" s="2" t="s">
        <v>5754</v>
      </c>
      <c r="C1918" s="3" t="s">
        <v>5755</v>
      </c>
      <c r="D1918" s="3" t="str">
        <f ca="1">IFERROR(__xludf.DUMMYFUNCTION("GOOGLETRANSLATE(A1918,""fr"",""en"")"),"drape")</f>
        <v>drape</v>
      </c>
      <c r="E1918" s="3" t="str">
        <f ca="1">IFERROR(__xludf.DUMMYFUNCTION("GOOGLETRANSLATE(B1918,""fr"",""en"")"),"She likes to drape a woolen shawl around her shoulders.")</f>
        <v>She likes to drape a woolen shawl around her shoulders.</v>
      </c>
    </row>
    <row r="1919" spans="1:5" x14ac:dyDescent="0.25">
      <c r="A1919" s="2" t="s">
        <v>5756</v>
      </c>
      <c r="B1919" s="2" t="s">
        <v>5757</v>
      </c>
      <c r="C1919" s="3" t="s">
        <v>5758</v>
      </c>
      <c r="D1919" s="3" t="str">
        <f ca="1">IFERROR(__xludf.DUMMYFUNCTION("GOOGLETRANSLATE(A1919,""fr"",""en"")"),"to loosen")</f>
        <v>to loosen</v>
      </c>
      <c r="E1919" s="3" t="str">
        <f ca="1">IFERROR(__xludf.DUMMYFUNCTION("GOOGLETRANSLATE(B1919,""fr"",""en"")"),"The screw must be loosened to remove the part.")</f>
        <v>The screw must be loosened to remove the part.</v>
      </c>
    </row>
    <row r="1920" spans="1:5" x14ac:dyDescent="0.25">
      <c r="A1920" s="2" t="s">
        <v>5759</v>
      </c>
      <c r="B1920" s="2" t="s">
        <v>5760</v>
      </c>
      <c r="C1920" s="3" t="s">
        <v>5761</v>
      </c>
      <c r="D1920" s="3" t="str">
        <f ca="1">IFERROR(__xludf.DUMMYFUNCTION("GOOGLETRANSLATE(A1920,""fr"",""en"")"),"to order")</f>
        <v>to order</v>
      </c>
      <c r="E1920" s="3" t="str">
        <f ca="1">IFERROR(__xludf.DUMMYFUNCTION("GOOGLETRANSLATE(B1920,""fr"",""en"")"),"The leader must schedule the tasks for the day.")</f>
        <v>The leader must schedule the tasks for the day.</v>
      </c>
    </row>
    <row r="1921" spans="1:5" x14ac:dyDescent="0.25">
      <c r="A1921" s="2" t="s">
        <v>5762</v>
      </c>
      <c r="B1921" s="2" t="s">
        <v>5763</v>
      </c>
      <c r="C1921" s="3" t="s">
        <v>5764</v>
      </c>
      <c r="D1921" s="3" t="str">
        <f ca="1">IFERROR(__xludf.DUMMYFUNCTION("GOOGLETRANSLATE(A1921,""fr"",""en"")"),"skate")</f>
        <v>skate</v>
      </c>
      <c r="E1921" s="3" t="str">
        <f ca="1">IFERROR(__xludf.DUMMYFUNCTION("GOOGLETRANSLATE(B1921,""fr"",""en"")"),"Children love skating on the frozen lake in winter.")</f>
        <v>Children love skating on the frozen lake in winter.</v>
      </c>
    </row>
    <row r="1922" spans="1:5" x14ac:dyDescent="0.25">
      <c r="A1922" s="2" t="s">
        <v>5765</v>
      </c>
      <c r="B1922" s="2" t="s">
        <v>5766</v>
      </c>
      <c r="C1922" s="3" t="s">
        <v>5767</v>
      </c>
      <c r="D1922" s="3" t="str">
        <f ca="1">IFERROR(__xludf.DUMMYFUNCTION("GOOGLETRANSLATE(A1922,""fr"",""en"")"),"converge")</f>
        <v>converge</v>
      </c>
      <c r="E1922" s="3" t="str">
        <f ca="1">IFERROR(__xludf.DUMMYFUNCTION("GOOGLETRANSLATE(B1922,""fr"",""en"")"),"Opinions are beginning to converge towards a consensus.")</f>
        <v>Opinions are beginning to converge towards a consensus.</v>
      </c>
    </row>
    <row r="1923" spans="1:5" x14ac:dyDescent="0.25">
      <c r="A1923" s="2" t="s">
        <v>5768</v>
      </c>
      <c r="B1923" s="2" t="s">
        <v>5769</v>
      </c>
      <c r="C1923" s="3" t="s">
        <v>5770</v>
      </c>
      <c r="D1923" s="3" t="str">
        <f ca="1">IFERROR(__xludf.DUMMYFUNCTION("GOOGLETRANSLATE(A1923,""fr"",""en"")"),"delight")</f>
        <v>delight</v>
      </c>
      <c r="E1923" s="3" t="str">
        <f ca="1">IFERROR(__xludf.DUMMYFUNCTION("GOOGLETRANSLATE(B1923,""fr"",""en"")"),"The news of the promotion delighted her to no end.")</f>
        <v>The news of the promotion delighted her to no end.</v>
      </c>
    </row>
    <row r="1924" spans="1:5" x14ac:dyDescent="0.25">
      <c r="A1924" s="2" t="s">
        <v>5771</v>
      </c>
      <c r="B1924" s="2" t="s">
        <v>5772</v>
      </c>
      <c r="C1924" s="3" t="s">
        <v>5773</v>
      </c>
      <c r="D1924" s="3" t="str">
        <f ca="1">IFERROR(__xludf.DUMMYFUNCTION("GOOGLETRANSLATE(A1924,""fr"",""en"")"),"peel")</f>
        <v>peel</v>
      </c>
      <c r="E1924" s="3" t="str">
        <f ca="1">IFERROR(__xludf.DUMMYFUNCTION("GOOGLETRANSLATE(B1924,""fr"",""en"")"),"Potatoes must be peeled before cooking.")</f>
        <v>Potatoes must be peeled before cooking.</v>
      </c>
    </row>
    <row r="1925" spans="1:5" x14ac:dyDescent="0.25">
      <c r="A1925" s="2" t="s">
        <v>5774</v>
      </c>
      <c r="B1925" s="2" t="s">
        <v>5775</v>
      </c>
      <c r="C1925" s="3" t="s">
        <v>5776</v>
      </c>
      <c r="D1925" s="3" t="str">
        <f ca="1">IFERROR(__xludf.DUMMYFUNCTION("GOOGLETRANSLATE(A1925,""fr"",""en"")"),"redevelop")</f>
        <v>redevelop</v>
      </c>
      <c r="E1925" s="3" t="str">
        <f ca="1">IFERROR(__xludf.DUMMYFUNCTION("GOOGLETRANSLATE(B1925,""fr"",""en"")"),"They will redesign the office for greater efficiency.")</f>
        <v>They will redesign the office for greater efficiency.</v>
      </c>
    </row>
    <row r="1926" spans="1:5" x14ac:dyDescent="0.25">
      <c r="A1926" s="2" t="s">
        <v>5777</v>
      </c>
      <c r="B1926" s="2" t="s">
        <v>5778</v>
      </c>
      <c r="C1926" s="3" t="s">
        <v>5779</v>
      </c>
      <c r="D1926" s="3" t="str">
        <f ca="1">IFERROR(__xludf.DUMMYFUNCTION("GOOGLETRANSLATE(A1926,""fr"",""en"")"),"brush")</f>
        <v>brush</v>
      </c>
      <c r="E1926" s="3" t="str">
        <f ca="1">IFERROR(__xludf.DUMMYFUNCTION("GOOGLETRANSLATE(B1926,""fr"",""en"")"),"She likes to paint her canvases with bright colors.")</f>
        <v>She likes to paint her canvases with bright colors.</v>
      </c>
    </row>
    <row r="1927" spans="1:5" x14ac:dyDescent="0.25">
      <c r="A1927" s="2" t="s">
        <v>5780</v>
      </c>
      <c r="B1927" s="2" t="s">
        <v>5781</v>
      </c>
      <c r="C1927" s="3" t="s">
        <v>5782</v>
      </c>
      <c r="D1927" s="3" t="str">
        <f ca="1">IFERROR(__xludf.DUMMYFUNCTION("GOOGLETRANSLATE(A1927,""fr"",""en"")"),"systematize")</f>
        <v>systematize</v>
      </c>
      <c r="E1927" s="3" t="str">
        <f ca="1">IFERROR(__xludf.DUMMYFUNCTION("GOOGLETRANSLATE(B1927,""fr"",""en"")"),"He decided to systematize his working methods to gain efficiency.")</f>
        <v>He decided to systematize his working methods to gain efficiency.</v>
      </c>
    </row>
    <row r="1928" spans="1:5" x14ac:dyDescent="0.25">
      <c r="A1928" s="2" t="s">
        <v>5783</v>
      </c>
      <c r="B1928" s="2" t="s">
        <v>5784</v>
      </c>
      <c r="C1928" s="3" t="s">
        <v>5785</v>
      </c>
      <c r="D1928" s="3" t="str">
        <f ca="1">IFERROR(__xludf.DUMMYFUNCTION("GOOGLETRANSLATE(A1928,""fr"",""en"")"),"to pour out")</f>
        <v>to pour out</v>
      </c>
      <c r="E1928" s="3" t="str">
        <f ca="1">IFERROR(__xludf.DUMMYFUNCTION("GOOGLETRANSLATE(B1928,""fr"",""en"")"),"Do not pour dirty water into the river.")</f>
        <v>Do not pour dirty water into the river.</v>
      </c>
    </row>
    <row r="1929" spans="1:5" x14ac:dyDescent="0.25">
      <c r="A1929" s="2" t="s">
        <v>5786</v>
      </c>
      <c r="B1929" s="2" t="s">
        <v>5787</v>
      </c>
      <c r="C1929" s="3" t="s">
        <v>5788</v>
      </c>
      <c r="D1929" s="3" t="str">
        <f ca="1">IFERROR(__xludf.DUMMYFUNCTION("GOOGLETRANSLATE(A1929,""fr"",""en"")"),"trade")</f>
        <v>trade</v>
      </c>
      <c r="E1929" s="3" t="str">
        <f ca="1">IFERROR(__xludf.DUMMYFUNCTION("GOOGLETRANSLATE(B1929,""fr"",""en"")"),"He started trading with foreign suppliers.")</f>
        <v>He started trading with foreign suppliers.</v>
      </c>
    </row>
    <row r="1930" spans="1:5" x14ac:dyDescent="0.25">
      <c r="A1930" s="2" t="s">
        <v>5789</v>
      </c>
      <c r="B1930" s="2" t="s">
        <v>5790</v>
      </c>
      <c r="C1930" s="3" t="s">
        <v>5791</v>
      </c>
      <c r="D1930" s="3" t="str">
        <f ca="1">IFERROR(__xludf.DUMMYFUNCTION("GOOGLETRANSLATE(A1930,""fr"",""en"")"),"track")</f>
        <v>track</v>
      </c>
      <c r="E1930" s="3" t="str">
        <f ca="1">IFERROR(__xludf.DUMMYFUNCTION("GOOGLETRANSLATE(B1930,""fr"",""en"")"),"The detective tracked the fugitive for weeks.")</f>
        <v>The detective tracked the fugitive for weeks.</v>
      </c>
    </row>
    <row r="1931" spans="1:5" x14ac:dyDescent="0.25">
      <c r="A1931" s="2" t="s">
        <v>5792</v>
      </c>
      <c r="B1931" s="2" t="s">
        <v>5793</v>
      </c>
      <c r="C1931" s="3" t="s">
        <v>5794</v>
      </c>
      <c r="D1931" s="3" t="str">
        <f ca="1">IFERROR(__xludf.DUMMYFUNCTION("GOOGLETRANSLATE(A1931,""fr"",""en"")"),"tan")</f>
        <v>tan</v>
      </c>
      <c r="E1931" s="3" t="str">
        <f ca="1">IFERROR(__xludf.DUMMYFUNCTION("GOOGLETRANSLATE(B1931,""fr"",""en"")"),"She loves sunbathing on the beach during vacations.")</f>
        <v>She loves sunbathing on the beach during vacations.</v>
      </c>
    </row>
    <row r="1932" spans="1:5" x14ac:dyDescent="0.25">
      <c r="A1932" s="2" t="s">
        <v>5795</v>
      </c>
      <c r="B1932" s="2" t="s">
        <v>5796</v>
      </c>
      <c r="C1932" s="3" t="s">
        <v>5797</v>
      </c>
      <c r="D1932" s="3" t="str">
        <f ca="1">IFERROR(__xludf.DUMMYFUNCTION("GOOGLETRANSLATE(A1932,""fr"",""en"")"),"legalize")</f>
        <v>legalize</v>
      </c>
      <c r="E1932" s="3" t="str">
        <f ca="1">IFERROR(__xludf.DUMMYFUNCTION("GOOGLETRANSLATE(B1932,""fr"",""en"")"),"The government is considering legalizing certain drugs.")</f>
        <v>The government is considering legalizing certain drugs.</v>
      </c>
    </row>
    <row r="1933" spans="1:5" x14ac:dyDescent="0.25">
      <c r="A1933" s="2" t="s">
        <v>5798</v>
      </c>
      <c r="B1933" s="2" t="s">
        <v>5799</v>
      </c>
      <c r="C1933" s="3" t="s">
        <v>5800</v>
      </c>
      <c r="D1933" s="3" t="str">
        <f ca="1">IFERROR(__xludf.DUMMYFUNCTION("GOOGLETRANSLATE(A1933,""fr"",""en"")"),"to lavish")</f>
        <v>to lavish</v>
      </c>
      <c r="E1933" s="3" t="str">
        <f ca="1">IFERROR(__xludf.DUMMYFUNCTION("GOOGLETRANSLATE(B1933,""fr"",""en"")"),"The doctor provided attentive care to the patient.")</f>
        <v>The doctor provided attentive care to the patient.</v>
      </c>
    </row>
    <row r="1934" spans="1:5" x14ac:dyDescent="0.25">
      <c r="A1934" s="2" t="s">
        <v>5801</v>
      </c>
      <c r="B1934" s="2" t="s">
        <v>5802</v>
      </c>
      <c r="C1934" s="3" t="s">
        <v>5803</v>
      </c>
      <c r="D1934" s="3" t="str">
        <f ca="1">IFERROR(__xludf.DUMMYFUNCTION("GOOGLETRANSLATE(A1934,""fr"",""en"")"),"reprogram")</f>
        <v>reprogram</v>
      </c>
      <c r="E1934" s="3" t="str">
        <f ca="1">IFERROR(__xludf.DUMMYFUNCTION("GOOGLETRANSLATE(B1934,""fr"",""en"")"),"He had to reprogram the computer due to an error.")</f>
        <v>He had to reprogram the computer due to an error.</v>
      </c>
    </row>
    <row r="1935" spans="1:5" x14ac:dyDescent="0.25">
      <c r="A1935" s="2" t="s">
        <v>5804</v>
      </c>
      <c r="B1935" s="2" t="s">
        <v>5805</v>
      </c>
      <c r="C1935" s="3" t="s">
        <v>5806</v>
      </c>
      <c r="D1935" s="3" t="str">
        <f ca="1">IFERROR(__xludf.DUMMYFUNCTION("GOOGLETRANSLATE(A1935,""fr"",""en"")"),"homogenize")</f>
        <v>homogenize</v>
      </c>
      <c r="E1935" s="3" t="str">
        <f ca="1">IFERROR(__xludf.DUMMYFUNCTION("GOOGLETRANSLATE(B1935,""fr"",""en"")"),"They will homogenize the mixture for a better texture.")</f>
        <v>They will homogenize the mixture for a better texture.</v>
      </c>
    </row>
    <row r="1936" spans="1:5" x14ac:dyDescent="0.25">
      <c r="A1936" s="2" t="s">
        <v>5807</v>
      </c>
      <c r="B1936" s="2" t="s">
        <v>5808</v>
      </c>
      <c r="C1936" s="3" t="s">
        <v>5809</v>
      </c>
      <c r="D1936" s="3" t="str">
        <f ca="1">IFERROR(__xludf.DUMMYFUNCTION("GOOGLETRANSLATE(A1936,""fr"",""en"")"),"compact")</f>
        <v>compact</v>
      </c>
      <c r="E1936" s="3" t="str">
        <f ca="1">IFERROR(__xludf.DUMMYFUNCTION("GOOGLETRANSLATE(B1936,""fr"",""en"")"),"Waste must be compacted before disposal.")</f>
        <v>Waste must be compacted before disposal.</v>
      </c>
    </row>
    <row r="1937" spans="1:5" x14ac:dyDescent="0.25">
      <c r="A1937" s="2" t="s">
        <v>5810</v>
      </c>
      <c r="B1937" s="2" t="s">
        <v>5811</v>
      </c>
      <c r="C1937" s="3" t="s">
        <v>5812</v>
      </c>
      <c r="D1937" s="3" t="str">
        <f ca="1">IFERROR(__xludf.DUMMYFUNCTION("GOOGLETRANSLATE(A1937,""fr"",""en"")"),"to decree")</f>
        <v>to decree</v>
      </c>
      <c r="E1937" s="3" t="str">
        <f ca="1">IFERROR(__xludf.DUMMYFUNCTION("GOOGLETRANSLATE(B1937,""fr"",""en"")"),"The president has declared a holiday for all employees.")</f>
        <v>The president has declared a holiday for all employees.</v>
      </c>
    </row>
    <row r="1938" spans="1:5" x14ac:dyDescent="0.25">
      <c r="A1938" s="2" t="s">
        <v>5813</v>
      </c>
      <c r="B1938" s="2" t="s">
        <v>5814</v>
      </c>
      <c r="C1938" s="3" t="s">
        <v>5815</v>
      </c>
      <c r="D1938" s="3" t="str">
        <f ca="1">IFERROR(__xludf.DUMMYFUNCTION("GOOGLETRANSLATE(A1938,""fr"",""en"")"),"primer")</f>
        <v>primer</v>
      </c>
      <c r="E1938" s="3" t="str">
        <f ca="1">IFERROR(__xludf.DUMMYFUNCTION("GOOGLETRANSLATE(B1938,""fr"",""en"")"),"Surfaces must be primed before painting.")</f>
        <v>Surfaces must be primed before painting.</v>
      </c>
    </row>
    <row r="1939" spans="1:5" x14ac:dyDescent="0.25">
      <c r="A1939" s="2" t="s">
        <v>5816</v>
      </c>
      <c r="B1939" s="2" t="s">
        <v>5817</v>
      </c>
      <c r="C1939" s="3" t="s">
        <v>5818</v>
      </c>
      <c r="D1939" s="3" t="str">
        <f ca="1">IFERROR(__xludf.DUMMYFUNCTION("GOOGLETRANSLATE(A1939,""fr"",""en"")"),"encrypt")</f>
        <v>encrypt</v>
      </c>
      <c r="E1939" s="3" t="str">
        <f ca="1">IFERROR(__xludf.DUMMYFUNCTION("GOOGLETRANSLATE(B1939,""fr"",""en"")"),"Sensitive data must be encrypted for security.")</f>
        <v>Sensitive data must be encrypted for security.</v>
      </c>
    </row>
    <row r="1940" spans="1:5" x14ac:dyDescent="0.25">
      <c r="A1940" s="2" t="s">
        <v>5819</v>
      </c>
      <c r="B1940" s="2" t="s">
        <v>5820</v>
      </c>
      <c r="C1940" s="3" t="s">
        <v>5821</v>
      </c>
      <c r="D1940" s="3" t="str">
        <f ca="1">IFERROR(__xludf.DUMMYFUNCTION("GOOGLETRANSLATE(A1940,""fr"",""en"")"),"to compromise")</f>
        <v>to compromise</v>
      </c>
      <c r="E1940" s="3" t="str">
        <f ca="1">IFERROR(__xludf.DUMMYFUNCTION("GOOGLETRANSLATE(B1940,""fr"",""en"")"),"They decided to compromise on the terms of the contract.")</f>
        <v>They decided to compromise on the terms of the contract.</v>
      </c>
    </row>
    <row r="1941" spans="1:5" x14ac:dyDescent="0.25">
      <c r="A1941" s="2" t="s">
        <v>5822</v>
      </c>
      <c r="B1941" s="2" t="s">
        <v>5823</v>
      </c>
      <c r="C1941" s="3" t="s">
        <v>5824</v>
      </c>
      <c r="D1941" s="3" t="str">
        <f ca="1">IFERROR(__xludf.DUMMYFUNCTION("GOOGLETRANSLATE(A1941,""fr"",""en"")"),"marginalize")</f>
        <v>marginalize</v>
      </c>
      <c r="E1941" s="3" t="str">
        <f ca="1">IFERROR(__xludf.DUMMYFUNCTION("GOOGLETRANSLATE(B1941,""fr"",""en"")"),"Some policies can marginalize entire groups.")</f>
        <v>Some policies can marginalize entire groups.</v>
      </c>
    </row>
    <row r="1942" spans="1:5" x14ac:dyDescent="0.25">
      <c r="A1942" s="2" t="s">
        <v>5825</v>
      </c>
      <c r="B1942" s="2" t="s">
        <v>5826</v>
      </c>
      <c r="C1942" s="3" t="s">
        <v>5827</v>
      </c>
      <c r="D1942" s="3" t="str">
        <f ca="1">IFERROR(__xludf.DUMMYFUNCTION("GOOGLETRANSLATE(A1942,""fr"",""en"")"),"intersect")</f>
        <v>intersect</v>
      </c>
      <c r="E1942" s="3" t="str">
        <f ca="1">IFERROR(__xludf.DUMMYFUNCTION("GOOGLETRANSLATE(B1942,""fr"",""en"")"),"They will cut through the forest to create cutting areas.")</f>
        <v>They will cut through the forest to create cutting areas.</v>
      </c>
    </row>
    <row r="1943" spans="1:5" x14ac:dyDescent="0.25">
      <c r="A1943" s="2" t="s">
        <v>5828</v>
      </c>
      <c r="B1943" s="2" t="s">
        <v>5829</v>
      </c>
      <c r="C1943" s="3" t="s">
        <v>5830</v>
      </c>
      <c r="D1943" s="3" t="str">
        <f ca="1">IFERROR(__xludf.DUMMYFUNCTION("GOOGLETRANSLATE(A1943,""fr"",""en"")"),"resize")</f>
        <v>resize</v>
      </c>
      <c r="E1943" s="3" t="str">
        <f ca="1">IFERROR(__xludf.DUMMYFUNCTION("GOOGLETRANSLATE(B1943,""fr"",""en"")"),"He resized the images to fit the website.")</f>
        <v>He resized the images to fit the website.</v>
      </c>
    </row>
    <row r="1944" spans="1:5" x14ac:dyDescent="0.25">
      <c r="A1944" s="2" t="s">
        <v>5831</v>
      </c>
      <c r="B1944" s="2" t="s">
        <v>5832</v>
      </c>
      <c r="C1944" s="3" t="s">
        <v>5833</v>
      </c>
      <c r="D1944" s="3" t="str">
        <f ca="1">IFERROR(__xludf.DUMMYFUNCTION("GOOGLETRANSLATE(A1944,""fr"",""en"")"),"to be wary")</f>
        <v>to be wary</v>
      </c>
      <c r="E1944" s="3" t="str">
        <f ca="1">IFERROR(__xludf.DUMMYFUNCTION("GOOGLETRANSLATE(B1944,""fr"",""en"")"),"You have to be wary of people who are too nice.")</f>
        <v>You have to be wary of people who are too nice.</v>
      </c>
    </row>
    <row r="1945" spans="1:5" x14ac:dyDescent="0.25">
      <c r="A1945" s="2" t="s">
        <v>5834</v>
      </c>
      <c r="B1945" s="2" t="s">
        <v>5835</v>
      </c>
      <c r="C1945" s="3" t="s">
        <v>5836</v>
      </c>
      <c r="D1945" s="3" t="str">
        <f ca="1">IFERROR(__xludf.DUMMYFUNCTION("GOOGLETRANSLATE(A1945,""fr"",""en"")"),"formalize")</f>
        <v>formalize</v>
      </c>
      <c r="E1945" s="3" t="str">
        <f ca="1">IFERROR(__xludf.DUMMYFUNCTION("GOOGLETRANSLATE(B1945,""fr"",""en"")"),"It's time to formalize this agreement in writing.")</f>
        <v>It's time to formalize this agreement in writing.</v>
      </c>
    </row>
    <row r="1946" spans="1:5" x14ac:dyDescent="0.25">
      <c r="A1946" s="2" t="s">
        <v>5837</v>
      </c>
      <c r="B1946" s="2" t="s">
        <v>5838</v>
      </c>
      <c r="C1946" s="3" t="s">
        <v>5839</v>
      </c>
      <c r="D1946" s="3" t="str">
        <f ca="1">IFERROR(__xludf.DUMMYFUNCTION("GOOGLETRANSLATE(A1946,""fr"",""en"")"),"adjust")</f>
        <v>adjust</v>
      </c>
      <c r="E1946" s="3" t="str">
        <f ca="1">IFERROR(__xludf.DUMMYFUNCTION("GOOGLETRANSLATE(B1946,""fr"",""en"")"),"It will adjust the settings to improve performance.")</f>
        <v>It will adjust the settings to improve performance.</v>
      </c>
    </row>
    <row r="1947" spans="1:5" x14ac:dyDescent="0.25">
      <c r="A1947" s="2" t="s">
        <v>5840</v>
      </c>
      <c r="B1947" s="2" t="s">
        <v>5841</v>
      </c>
      <c r="C1947" s="3" t="s">
        <v>5842</v>
      </c>
      <c r="D1947" s="3" t="str">
        <f ca="1">IFERROR(__xludf.DUMMYFUNCTION("GOOGLETRANSLATE(A1947,""fr"",""en"")"),"to scam")</f>
        <v>to scam</v>
      </c>
      <c r="E1947" s="3" t="str">
        <f ca="1">IFERROR(__xludf.DUMMYFUNCTION("GOOGLETRANSLATE(B1947,""fr"",""en"")"),"Fraudsters attempted to scam elderly people.")</f>
        <v>Fraudsters attempted to scam elderly people.</v>
      </c>
    </row>
    <row r="1948" spans="1:5" x14ac:dyDescent="0.25">
      <c r="A1948" s="2" t="s">
        <v>5843</v>
      </c>
      <c r="B1948" s="2" t="s">
        <v>5844</v>
      </c>
      <c r="C1948" s="3" t="s">
        <v>5845</v>
      </c>
      <c r="D1948" s="3" t="str">
        <f ca="1">IFERROR(__xludf.DUMMYFUNCTION("GOOGLETRANSLATE(A1948,""fr"",""en"")"),"baptize")</f>
        <v>baptize</v>
      </c>
      <c r="E1948" s="3" t="str">
        <f ca="1">IFERROR(__xludf.DUMMYFUNCTION("GOOGLETRANSLATE(B1948,""fr"",""en"")"),"The priest will baptize the baby during the ceremony.")</f>
        <v>The priest will baptize the baby during the ceremony.</v>
      </c>
    </row>
    <row r="1949" spans="1:5" x14ac:dyDescent="0.25">
      <c r="A1949" s="2" t="s">
        <v>5846</v>
      </c>
      <c r="B1949" s="2" t="s">
        <v>5847</v>
      </c>
      <c r="C1949" s="3" t="s">
        <v>5848</v>
      </c>
      <c r="D1949" s="3" t="str">
        <f ca="1">IFERROR(__xludf.DUMMYFUNCTION("GOOGLETRANSLATE(A1949,""fr"",""en"")"),"dismiss")</f>
        <v>dismiss</v>
      </c>
      <c r="E1949" s="3" t="str">
        <f ca="1">IFERROR(__xludf.DUMMYFUNCTION("GOOGLETRANSLATE(B1949,""fr"",""en"")"),"The company has decided to lay off several employees.")</f>
        <v>The company has decided to lay off several employees.</v>
      </c>
    </row>
    <row r="1950" spans="1:5" x14ac:dyDescent="0.25">
      <c r="A1950" s="2" t="s">
        <v>5849</v>
      </c>
      <c r="B1950" s="2" t="s">
        <v>5850</v>
      </c>
      <c r="C1950" s="3" t="s">
        <v>5851</v>
      </c>
      <c r="D1950" s="3" t="str">
        <f ca="1">IFERROR(__xludf.DUMMYFUNCTION("GOOGLETRANSLATE(A1950,""fr"",""en"")"),"refer")</f>
        <v>refer</v>
      </c>
      <c r="E1950" s="3" t="str">
        <f ca="1">IFERROR(__xludf.DUMMYFUNCTION("GOOGLETRANSLATE(B1950,""fr"",""en"")"),"The lawyers will take the case to court.")</f>
        <v>The lawyers will take the case to court.</v>
      </c>
    </row>
    <row r="1951" spans="1:5" x14ac:dyDescent="0.25">
      <c r="A1951" s="2" t="s">
        <v>5852</v>
      </c>
      <c r="B1951" s="2" t="s">
        <v>5853</v>
      </c>
      <c r="C1951" s="3" t="s">
        <v>5854</v>
      </c>
      <c r="D1951" s="3" t="str">
        <f ca="1">IFERROR(__xludf.DUMMYFUNCTION("GOOGLETRANSLATE(A1951,""fr"",""en"")"),"shooter")</f>
        <v>shooter</v>
      </c>
      <c r="E1951" s="3" t="str">
        <f ca="1">IFERROR(__xludf.DUMMYFUNCTION("GOOGLETRANSLATE(B1951,""fr"",""en"")"),"He managed to kick a decisive penalty for his team.")</f>
        <v>He managed to kick a decisive penalty for his team.</v>
      </c>
    </row>
    <row r="1952" spans="1:5" x14ac:dyDescent="0.25">
      <c r="A1952" s="2" t="s">
        <v>5855</v>
      </c>
      <c r="B1952" s="2" t="s">
        <v>5856</v>
      </c>
      <c r="C1952" s="3" t="s">
        <v>5857</v>
      </c>
      <c r="D1952" s="3" t="str">
        <f ca="1">IFERROR(__xludf.DUMMYFUNCTION("GOOGLETRANSLATE(A1952,""fr"",""en"")"),"to sew")</f>
        <v>to sew</v>
      </c>
      <c r="E1952" s="3" t="str">
        <f ca="1">IFERROR(__xludf.DUMMYFUNCTION("GOOGLETRANSLATE(B1952,""fr"",""en"")"),"She likes to sew her own clothes.")</f>
        <v>She likes to sew her own clothes.</v>
      </c>
    </row>
    <row r="1953" spans="1:5" x14ac:dyDescent="0.25">
      <c r="A1953" s="2" t="s">
        <v>5858</v>
      </c>
      <c r="B1953" s="2" t="s">
        <v>5859</v>
      </c>
      <c r="C1953" s="3" t="s">
        <v>5860</v>
      </c>
      <c r="D1953" s="3" t="str">
        <f ca="1">IFERROR(__xludf.DUMMYFUNCTION("GOOGLETRANSLATE(A1953,""fr"",""en"")"),"spell")</f>
        <v>spell</v>
      </c>
      <c r="E1953" s="3" t="str">
        <f ca="1">IFERROR(__xludf.DUMMYFUNCTION("GOOGLETRANSLATE(B1953,""fr"",""en"")"),"Children need to learn to spell correctly.")</f>
        <v>Children need to learn to spell correctly.</v>
      </c>
    </row>
    <row r="1954" spans="1:5" x14ac:dyDescent="0.25">
      <c r="A1954" s="2" t="s">
        <v>5861</v>
      </c>
      <c r="B1954" s="2" t="s">
        <v>5862</v>
      </c>
      <c r="C1954" s="3" t="s">
        <v>5863</v>
      </c>
      <c r="D1954" s="3" t="str">
        <f ca="1">IFERROR(__xludf.DUMMYFUNCTION("GOOGLETRANSLATE(A1954,""fr"",""en"")"),"authenticate")</f>
        <v>authenticate</v>
      </c>
      <c r="E1954" s="3" t="str">
        <f ca="1">IFERROR(__xludf.DUMMYFUNCTION("GOOGLETRANSLATE(B1954,""fr"",""en"")"),"He managed to authenticate the document as genuine.")</f>
        <v>He managed to authenticate the document as genuine.</v>
      </c>
    </row>
    <row r="1955" spans="1:5" x14ac:dyDescent="0.25">
      <c r="A1955" s="2" t="s">
        <v>5864</v>
      </c>
      <c r="B1955" s="2" t="s">
        <v>5865</v>
      </c>
      <c r="C1955" s="3" t="s">
        <v>5866</v>
      </c>
      <c r="D1955" s="3" t="str">
        <f ca="1">IFERROR(__xludf.DUMMYFUNCTION("GOOGLETRANSLATE(A1955,""fr"",""en"")"),"to fit")</f>
        <v>to fit</v>
      </c>
      <c r="E1955" s="3" t="str">
        <f ca="1">IFERROR(__xludf.DUMMYFUNCTION("GOOGLETRANSLATE(B1955,""fr"",""en"")"),"All the books must be put in the library.")</f>
        <v>All the books must be put in the library.</v>
      </c>
    </row>
    <row r="1956" spans="1:5" x14ac:dyDescent="0.25">
      <c r="A1956" s="2" t="s">
        <v>5867</v>
      </c>
      <c r="B1956" s="2" t="s">
        <v>5868</v>
      </c>
      <c r="C1956" s="3" t="s">
        <v>5869</v>
      </c>
      <c r="D1956" s="3" t="str">
        <f ca="1">IFERROR(__xludf.DUMMYFUNCTION("GOOGLETRANSLATE(A1956,""fr"",""en"")"),"to reverberate")</f>
        <v>to reverberate</v>
      </c>
      <c r="E1956" s="3" t="str">
        <f ca="1">IFERROR(__xludf.DUMMYFUNCTION("GOOGLETRANSLATE(B1956,""fr"",""en"")"),"It will pass the costs on to end customers.")</f>
        <v>It will pass the costs on to end customers.</v>
      </c>
    </row>
    <row r="1957" spans="1:5" x14ac:dyDescent="0.25">
      <c r="A1957" s="2" t="s">
        <v>5870</v>
      </c>
      <c r="B1957" s="2" t="s">
        <v>5871</v>
      </c>
      <c r="C1957" s="3" t="s">
        <v>5872</v>
      </c>
      <c r="D1957" s="3" t="str">
        <f ca="1">IFERROR(__xludf.DUMMYFUNCTION("GOOGLETRANSLATE(A1957,""fr"",""en"")"),"co-finance")</f>
        <v>co-finance</v>
      </c>
      <c r="E1957" s="3" t="str">
        <f ca="1">IFERROR(__xludf.DUMMYFUNCTION("GOOGLETRANSLATE(B1957,""fr"",""en"")"),"They will co-finance the project with other partners.")</f>
        <v>They will co-finance the project with other partners.</v>
      </c>
    </row>
    <row r="1958" spans="1:5" x14ac:dyDescent="0.25">
      <c r="A1958" s="2" t="s">
        <v>5873</v>
      </c>
      <c r="B1958" s="2" t="s">
        <v>5874</v>
      </c>
      <c r="C1958" s="3" t="s">
        <v>5875</v>
      </c>
      <c r="D1958" s="3" t="str">
        <f ca="1">IFERROR(__xludf.DUMMYFUNCTION("GOOGLETRANSLATE(A1958,""fr"",""en"")"),"debit")</f>
        <v>debit</v>
      </c>
      <c r="E1958" s="3" t="str">
        <f ca="1">IFERROR(__xludf.DUMMYFUNCTION("GOOGLETRANSLATE(B1958,""fr"",""en"")"),"Don't forget to debit the amount from your account.")</f>
        <v>Don't forget to debit the amount from your account.</v>
      </c>
    </row>
    <row r="1959" spans="1:5" x14ac:dyDescent="0.25">
      <c r="A1959" s="2" t="s">
        <v>5876</v>
      </c>
      <c r="B1959" s="2" t="s">
        <v>5877</v>
      </c>
      <c r="C1959" s="3" t="s">
        <v>5878</v>
      </c>
      <c r="D1959" s="3" t="str">
        <f ca="1">IFERROR(__xludf.DUMMYFUNCTION("GOOGLETRANSLATE(A1959,""fr"",""en"")"),"zoom in")</f>
        <v>zoom in</v>
      </c>
      <c r="E1959" s="3" t="str">
        <f ca="1">IFERROR(__xludf.DUMMYFUNCTION("GOOGLETRANSLATE(B1959,""fr"",""en"")"),"The photographer will zoom in on the subject to capture details.")</f>
        <v>The photographer will zoom in on the subject to capture details.</v>
      </c>
    </row>
    <row r="1960" spans="1:5" x14ac:dyDescent="0.25">
      <c r="A1960" s="2" t="s">
        <v>5879</v>
      </c>
      <c r="B1960" s="2" t="s">
        <v>5880</v>
      </c>
      <c r="C1960" s="3" t="s">
        <v>5881</v>
      </c>
      <c r="D1960" s="3" t="str">
        <f ca="1">IFERROR(__xludf.DUMMYFUNCTION("GOOGLETRANSLATE(A1960,""fr"",""en"")"),"circumstantial")</f>
        <v>circumstantial</v>
      </c>
      <c r="E1960" s="3" t="str">
        <f ca="1">IFERROR(__xludf.DUMMYFUNCTION("GOOGLETRANSLATE(B1960,""fr"",""en"")"),"The report must provide a detailed account of the events.")</f>
        <v>The report must provide a detailed account of the events.</v>
      </c>
    </row>
    <row r="1961" spans="1:5" x14ac:dyDescent="0.25">
      <c r="A1961" s="2" t="s">
        <v>5882</v>
      </c>
      <c r="B1961" s="2" t="s">
        <v>5883</v>
      </c>
      <c r="C1961" s="3" t="s">
        <v>5884</v>
      </c>
      <c r="D1961" s="3" t="str">
        <f ca="1">IFERROR(__xludf.DUMMYFUNCTION("GOOGLETRANSLATE(A1961,""fr"",""en"")"),"increase")</f>
        <v>increase</v>
      </c>
      <c r="E1961" s="3" t="str">
        <f ca="1">IFERROR(__xludf.DUMMYFUNCTION("GOOGLETRANSLATE(B1961,""fr"",""en"")"),"They will increase prices due to increasing demand.")</f>
        <v>They will increase prices due to increasing demand.</v>
      </c>
    </row>
    <row r="1962" spans="1:5" x14ac:dyDescent="0.25">
      <c r="A1962" s="2" t="s">
        <v>5885</v>
      </c>
      <c r="B1962" s="2" t="s">
        <v>5886</v>
      </c>
      <c r="C1962" s="3" t="s">
        <v>5887</v>
      </c>
      <c r="D1962" s="3" t="str">
        <f ca="1">IFERROR(__xludf.DUMMYFUNCTION("GOOGLETRANSLATE(A1962,""fr"",""en"")"),"revive")</f>
        <v>revive</v>
      </c>
      <c r="E1962" s="3" t="str">
        <f ca="1">IFERROR(__xludf.DUMMYFUNCTION("GOOGLETRANSLATE(B1962,""fr"",""en"")"),"Rescuers managed to revive the patient.")</f>
        <v>Rescuers managed to revive the patient.</v>
      </c>
    </row>
    <row r="1963" spans="1:5" x14ac:dyDescent="0.25">
      <c r="A1963" s="2" t="s">
        <v>5888</v>
      </c>
      <c r="B1963" s="2" t="s">
        <v>5889</v>
      </c>
      <c r="C1963" s="3" t="s">
        <v>5890</v>
      </c>
      <c r="D1963" s="3" t="str">
        <f ca="1">IFERROR(__xludf.DUMMYFUNCTION("GOOGLETRANSLATE(A1963,""fr"",""en"")"),"brown")</f>
        <v>brown</v>
      </c>
      <c r="E1963" s="3" t="str">
        <f ca="1">IFERROR(__xludf.DUMMYFUNCTION("GOOGLETRANSLATE(B1963,""fr"",""en"")"),"She likes to brown chocolate bread for breakfast.")</f>
        <v>She likes to brown chocolate bread for breakfast.</v>
      </c>
    </row>
    <row r="1964" spans="1:5" x14ac:dyDescent="0.25">
      <c r="A1964" s="2" t="s">
        <v>5891</v>
      </c>
      <c r="B1964" s="2" t="s">
        <v>5892</v>
      </c>
      <c r="C1964" s="3" t="s">
        <v>5893</v>
      </c>
      <c r="D1964" s="3" t="str">
        <f ca="1">IFERROR(__xludf.DUMMYFUNCTION("GOOGLETRANSLATE(A1964,""fr"",""en"")"),"to expect")</f>
        <v>to expect</v>
      </c>
      <c r="E1964" s="3" t="str">
        <f ca="1">IFERROR(__xludf.DUMMYFUNCTION("GOOGLETRANSLATE(B1964,""fr"",""en"")"),"Income should be forecast for the coming year.")</f>
        <v>Income should be forecast for the coming year.</v>
      </c>
    </row>
    <row r="1965" spans="1:5" x14ac:dyDescent="0.25">
      <c r="A1965" s="2" t="s">
        <v>5894</v>
      </c>
      <c r="B1965" s="2" t="s">
        <v>5895</v>
      </c>
      <c r="C1965" s="3" t="s">
        <v>5896</v>
      </c>
      <c r="D1965" s="3" t="str">
        <f ca="1">IFERROR(__xludf.DUMMYFUNCTION("GOOGLETRANSLATE(A1965,""fr"",""en"")"),"to fool")</f>
        <v>to fool</v>
      </c>
      <c r="E1965" s="3" t="str">
        <f ca="1">IFERROR(__xludf.DUMMYFUNCTION("GOOGLETRANSLATE(B1965,""fr"",""en"")"),"Beware of salespeople who try to trick you.")</f>
        <v>Beware of salespeople who try to trick you.</v>
      </c>
    </row>
    <row r="1966" spans="1:5" x14ac:dyDescent="0.25">
      <c r="A1966" s="2" t="s">
        <v>5897</v>
      </c>
      <c r="B1966" s="2" t="s">
        <v>5898</v>
      </c>
      <c r="C1966" s="3" t="s">
        <v>5899</v>
      </c>
      <c r="D1966" s="3" t="str">
        <f ca="1">IFERROR(__xludf.DUMMYFUNCTION("GOOGLETRANSLATE(A1966,""fr"",""en"")"),"to lower")</f>
        <v>to lower</v>
      </c>
      <c r="E1966" s="3" t="str">
        <f ca="1">IFERROR(__xludf.DUMMYFUNCTION("GOOGLETRANSLATE(B1966,""fr"",""en"")"),"You should lower the oven temperature to avoid burning the cake.")</f>
        <v>You should lower the oven temperature to avoid burning the cake.</v>
      </c>
    </row>
    <row r="1967" spans="1:5" x14ac:dyDescent="0.25">
      <c r="A1967" s="2" t="s">
        <v>5900</v>
      </c>
      <c r="B1967" s="2" t="s">
        <v>5901</v>
      </c>
      <c r="C1967" s="3" t="s">
        <v>5902</v>
      </c>
      <c r="D1967" s="3" t="str">
        <f ca="1">IFERROR(__xludf.DUMMYFUNCTION("GOOGLETRANSLATE(A1967,""fr"",""en"")"),"embroider")</f>
        <v>embroider</v>
      </c>
      <c r="E1967" s="3" t="str">
        <f ca="1">IFERROR(__xludf.DUMMYFUNCTION("GOOGLETRANSLATE(B1967,""fr"",""en"")"),"She embroiders delicate patterns on her cushions.")</f>
        <v>She embroiders delicate patterns on her cushions.</v>
      </c>
    </row>
    <row r="1968" spans="1:5" x14ac:dyDescent="0.25">
      <c r="A1968" s="2" t="s">
        <v>5903</v>
      </c>
      <c r="B1968" s="2" t="s">
        <v>5904</v>
      </c>
      <c r="C1968" s="3" t="s">
        <v>5905</v>
      </c>
      <c r="D1968" s="3" t="str">
        <f ca="1">IFERROR(__xludf.DUMMYFUNCTION("GOOGLETRANSLATE(A1968,""fr"",""en"")"),"underinsure")</f>
        <v>underinsure</v>
      </c>
      <c r="E1968" s="3" t="str">
        <f ca="1">IFERROR(__xludf.DUMMYFUNCTION("GOOGLETRANSLATE(B1968,""fr"",""en"")"),"It is better to underinsure your vehicle than to pay high premiums.")</f>
        <v>It is better to underinsure your vehicle than to pay high premiums.</v>
      </c>
    </row>
    <row r="1969" spans="1:5" x14ac:dyDescent="0.25">
      <c r="A1969" s="2" t="s">
        <v>5906</v>
      </c>
      <c r="B1969" s="2" t="s">
        <v>5907</v>
      </c>
      <c r="C1969" s="3" t="s">
        <v>5908</v>
      </c>
      <c r="D1969" s="3" t="str">
        <f ca="1">IFERROR(__xludf.DUMMYFUNCTION("GOOGLETRANSLATE(A1969,""fr"",""en"")"),"argue")</f>
        <v>argue</v>
      </c>
      <c r="E1969" s="3" t="str">
        <f ca="1">IFERROR(__xludf.DUMMYFUNCTION("GOOGLETRANSLATE(B1969,""fr"",""en"")"),"He spoke out to argue in favor of the project.")</f>
        <v>He spoke out to argue in favor of the project.</v>
      </c>
    </row>
    <row r="1970" spans="1:5" x14ac:dyDescent="0.25">
      <c r="A1970" s="2" t="s">
        <v>5909</v>
      </c>
      <c r="B1970" s="2" t="s">
        <v>5910</v>
      </c>
      <c r="C1970" s="3" t="s">
        <v>5911</v>
      </c>
      <c r="D1970" s="3" t="str">
        <f ca="1">IFERROR(__xludf.DUMMYFUNCTION("GOOGLETRANSLATE(A1970,""fr"",""en"")"),"lay")</f>
        <v>lay</v>
      </c>
      <c r="E1970" s="3" t="str">
        <f ca="1">IFERROR(__xludf.DUMMYFUNCTION("GOOGLETRANSLATE(B1970,""fr"",""en"")"),"The hen will lay an egg every morning.")</f>
        <v>The hen will lay an egg every morning.</v>
      </c>
    </row>
    <row r="1971" spans="1:5" x14ac:dyDescent="0.25">
      <c r="A1971" s="2" t="s">
        <v>5912</v>
      </c>
      <c r="B1971" s="2" t="s">
        <v>5913</v>
      </c>
      <c r="C1971" s="3" t="s">
        <v>5914</v>
      </c>
      <c r="D1971" s="3" t="str">
        <f ca="1">IFERROR(__xludf.DUMMYFUNCTION("GOOGLETRANSLATE(A1971,""fr"",""en"")"),"to draw out")</f>
        <v>to draw out</v>
      </c>
      <c r="E1971" s="3" t="str">
        <f ca="1">IFERROR(__xludf.DUMMYFUNCTION("GOOGLETRANSLATE(B1971,""fr"",""en"")"),"He managed to extract confidential information.")</f>
        <v>He managed to extract confidential information.</v>
      </c>
    </row>
    <row r="1972" spans="1:5" x14ac:dyDescent="0.25">
      <c r="A1972" s="2" t="s">
        <v>5915</v>
      </c>
      <c r="B1972" s="2" t="s">
        <v>5916</v>
      </c>
      <c r="C1972" s="3" t="s">
        <v>5917</v>
      </c>
      <c r="D1972" s="3" t="str">
        <f ca="1">IFERROR(__xludf.DUMMYFUNCTION("GOOGLETRANSLATE(A1972,""fr"",""en"")"),"embarrass")</f>
        <v>embarrass</v>
      </c>
      <c r="E1972" s="3" t="str">
        <f ca="1">IFERROR(__xludf.DUMMYFUNCTION("GOOGLETRANSLATE(B1972,""fr"",""en"")"),"His jokes managed to embarrass the whole group.")</f>
        <v>His jokes managed to embarrass the whole group.</v>
      </c>
    </row>
    <row r="1973" spans="1:5" x14ac:dyDescent="0.25">
      <c r="A1973" s="2" t="s">
        <v>5918</v>
      </c>
      <c r="B1973" s="2" t="s">
        <v>5919</v>
      </c>
      <c r="C1973" s="3" t="s">
        <v>5920</v>
      </c>
      <c r="D1973" s="3" t="str">
        <f ca="1">IFERROR(__xludf.DUMMYFUNCTION("GOOGLETRANSLATE(A1973,""fr"",""en"")"),"to scratch")</f>
        <v>to scratch</v>
      </c>
      <c r="E1973" s="3" t="str">
        <f ca="1">IFERROR(__xludf.DUMMYFUNCTION("GOOGLETRANSLATE(B1973,""fr"",""en"")"),"He must clear his doubts before making a decision.")</f>
        <v>He must clear his doubts before making a decision.</v>
      </c>
    </row>
    <row r="1974" spans="1:5" x14ac:dyDescent="0.25">
      <c r="A1974" s="2" t="s">
        <v>5921</v>
      </c>
      <c r="B1974" s="2" t="s">
        <v>5922</v>
      </c>
      <c r="C1974" s="3" t="s">
        <v>5923</v>
      </c>
      <c r="D1974" s="3" t="str">
        <f ca="1">IFERROR(__xludf.DUMMYFUNCTION("GOOGLETRANSLATE(A1974,""fr"",""en"")"),"blush")</f>
        <v>blush</v>
      </c>
      <c r="E1974" s="3" t="str">
        <f ca="1">IFERROR(__xludf.DUMMYFUNCTION("GOOGLETRANSLATE(B1974,""fr"",""en"")"),"She blushed at the compliment.")</f>
        <v>She blushed at the compliment.</v>
      </c>
    </row>
    <row r="1975" spans="1:5" x14ac:dyDescent="0.25">
      <c r="A1975" s="2" t="s">
        <v>5924</v>
      </c>
      <c r="B1975" s="2" t="s">
        <v>5925</v>
      </c>
      <c r="C1975" s="3" t="s">
        <v>5926</v>
      </c>
      <c r="D1975" s="3" t="str">
        <f ca="1">IFERROR(__xludf.DUMMYFUNCTION("GOOGLETRANSLATE(A1975,""fr"",""en"")"),"sharpen")</f>
        <v>sharpen</v>
      </c>
      <c r="E1975" s="3" t="str">
        <f ca="1">IFERROR(__xludf.DUMMYFUNCTION("GOOGLETRANSLATE(B1975,""fr"",""en"")"),"You must sharpen the knife before cutting the vegetables.")</f>
        <v>You must sharpen the knife before cutting the vegetables.</v>
      </c>
    </row>
    <row r="1976" spans="1:5" x14ac:dyDescent="0.25">
      <c r="A1976" s="2" t="s">
        <v>5927</v>
      </c>
      <c r="B1976" s="2" t="s">
        <v>5928</v>
      </c>
      <c r="C1976" s="3" t="s">
        <v>5929</v>
      </c>
      <c r="D1976" s="3" t="str">
        <f ca="1">IFERROR(__xludf.DUMMYFUNCTION("GOOGLETRANSLATE(A1976,""fr"",""en"")"),"to crack down")</f>
        <v>to crack down</v>
      </c>
      <c r="E1976" s="3" t="str">
        <f ca="1">IFERROR(__xludf.DUMMYFUNCTION("GOOGLETRANSLATE(B1976,""fr"",""en"")"),"The government will crack down on tax fraud.")</f>
        <v>The government will crack down on tax fraud.</v>
      </c>
    </row>
    <row r="1977" spans="1:5" x14ac:dyDescent="0.25">
      <c r="A1977" s="2" t="s">
        <v>5930</v>
      </c>
      <c r="B1977" s="2" t="s">
        <v>5931</v>
      </c>
      <c r="C1977" s="3" t="s">
        <v>5932</v>
      </c>
      <c r="D1977" s="3" t="str">
        <f ca="1">IFERROR(__xludf.DUMMYFUNCTION("GOOGLETRANSLATE(A1977,""fr"",""en"")"),"transit")</f>
        <v>transit</v>
      </c>
      <c r="E1977" s="3" t="str">
        <f ca="1">IFERROR(__xludf.DUMMYFUNCTION("GOOGLETRANSLATE(B1977,""fr"",""en"")"),"Trains will pass through the main station.")</f>
        <v>Trains will pass through the main station.</v>
      </c>
    </row>
    <row r="1978" spans="1:5" x14ac:dyDescent="0.25">
      <c r="A1978" s="2" t="s">
        <v>5933</v>
      </c>
      <c r="B1978" s="2" t="s">
        <v>5934</v>
      </c>
      <c r="C1978" s="3" t="s">
        <v>5935</v>
      </c>
      <c r="D1978" s="3" t="str">
        <f ca="1">IFERROR(__xludf.DUMMYFUNCTION("GOOGLETRANSLATE(A1978,""fr"",""en"")"),"match")</f>
        <v>match</v>
      </c>
      <c r="E1978" s="3" t="str">
        <f ca="1">IFERROR(__xludf.DUMMYFUNCTION("GOOGLETRANSLATE(B1978,""fr"",""en"")"),"Dogs are trained to match hunters.")</f>
        <v>Dogs are trained to match hunters.</v>
      </c>
    </row>
    <row r="1979" spans="1:5" x14ac:dyDescent="0.25">
      <c r="A1979" s="2" t="s">
        <v>5936</v>
      </c>
      <c r="B1979" s="2" t="s">
        <v>5937</v>
      </c>
      <c r="C1979" s="3" t="s">
        <v>5938</v>
      </c>
      <c r="D1979" s="3" t="str">
        <f ca="1">IFERROR(__xludf.DUMMYFUNCTION("GOOGLETRANSLATE(A1979,""fr"",""en"")"),"ricochet")</f>
        <v>ricochet</v>
      </c>
      <c r="E1979" s="3" t="str">
        <f ca="1">IFERROR(__xludf.DUMMYFUNCTION("GOOGLETRANSLATE(B1979,""fr"",""en"")"),"The bullet ricocheted off the ground before hitting the target.")</f>
        <v>The bullet ricocheted off the ground before hitting the target.</v>
      </c>
    </row>
    <row r="1980" spans="1:5" x14ac:dyDescent="0.25">
      <c r="A1980" s="2" t="s">
        <v>5939</v>
      </c>
      <c r="B1980" s="2" t="s">
        <v>5940</v>
      </c>
      <c r="C1980" s="3" t="s">
        <v>5941</v>
      </c>
      <c r="D1980" s="3" t="str">
        <f ca="1">IFERROR(__xludf.DUMMYFUNCTION("GOOGLETRANSLATE(A1980,""fr"",""en"")"),"credit")</f>
        <v>credit</v>
      </c>
      <c r="E1980" s="3" t="str">
        <f ca="1">IFERROR(__xludf.DUMMYFUNCTION("GOOGLETRANSLATE(B1980,""fr"",""en"")"),"It will credit your account upon receipt of payment.")</f>
        <v>It will credit your account upon receipt of payment.</v>
      </c>
    </row>
    <row r="1981" spans="1:5" x14ac:dyDescent="0.25">
      <c r="A1981" s="2" t="s">
        <v>5942</v>
      </c>
      <c r="B1981" s="2" t="s">
        <v>5943</v>
      </c>
      <c r="C1981" s="3" t="s">
        <v>5944</v>
      </c>
      <c r="D1981" s="3" t="str">
        <f ca="1">IFERROR(__xludf.DUMMYFUNCTION("GOOGLETRANSLATE(A1981,""fr"",""en"")"),"germinate")</f>
        <v>germinate</v>
      </c>
      <c r="E1981" s="3" t="str">
        <f ca="1">IFERROR(__xludf.DUMMYFUNCTION("GOOGLETRANSLATE(B1981,""fr"",""en"")"),"The seeds will germinate under the influence of water and heat.")</f>
        <v>The seeds will germinate under the influence of water and heat.</v>
      </c>
    </row>
    <row r="1982" spans="1:5" x14ac:dyDescent="0.25">
      <c r="A1982" s="2" t="s">
        <v>5945</v>
      </c>
      <c r="B1982" s="2" t="s">
        <v>5946</v>
      </c>
      <c r="C1982" s="3" t="s">
        <v>5947</v>
      </c>
      <c r="D1982" s="3" t="str">
        <f ca="1">IFERROR(__xludf.DUMMYFUNCTION("GOOGLETRANSLATE(A1982,""fr"",""en"")"),"cohabit")</f>
        <v>cohabit</v>
      </c>
      <c r="E1982" s="3" t="str">
        <f ca="1">IFERROR(__xludf.DUMMYFUNCTION("GOOGLETRANSLATE(B1982,""fr"",""en"")"),"They will live together despite their differences.")</f>
        <v>They will live together despite their differences.</v>
      </c>
    </row>
    <row r="1983" spans="1:5" x14ac:dyDescent="0.25">
      <c r="A1983" s="2" t="s">
        <v>5948</v>
      </c>
      <c r="B1983" s="2" t="s">
        <v>5949</v>
      </c>
      <c r="C1983" s="3" t="s">
        <v>5950</v>
      </c>
      <c r="D1983" s="3" t="str">
        <f ca="1">IFERROR(__xludf.DUMMYFUNCTION("GOOGLETRANSLATE(A1983,""fr"",""en"")"),"containerize")</f>
        <v>containerize</v>
      </c>
      <c r="E1983" s="3" t="str">
        <f ca="1">IFERROR(__xludf.DUMMYFUNCTION("GOOGLETRANSLATE(B1983,""fr"",""en"")"),"The products will be containerized before export.")</f>
        <v>The products will be containerized before export.</v>
      </c>
    </row>
    <row r="1984" spans="1:5" x14ac:dyDescent="0.25">
      <c r="A1984" s="2" t="s">
        <v>5951</v>
      </c>
      <c r="B1984" s="2" t="s">
        <v>5952</v>
      </c>
      <c r="C1984" s="3" t="s">
        <v>5953</v>
      </c>
      <c r="D1984" s="3" t="str">
        <f ca="1">IFERROR(__xludf.DUMMYFUNCTION("GOOGLETRANSLATE(A1984,""fr"",""en"")"),"escape")</f>
        <v>escape</v>
      </c>
      <c r="E1984" s="3" t="str">
        <f ca="1">IFERROR(__xludf.DUMMYFUNCTION("GOOGLETRANSLATE(B1984,""fr"",""en"")"),"The prisoners managed to escape from the prison.")</f>
        <v>The prisoners managed to escape from the prison.</v>
      </c>
    </row>
    <row r="1985" spans="1:5" x14ac:dyDescent="0.25">
      <c r="A1985" s="2" t="s">
        <v>5954</v>
      </c>
      <c r="B1985" s="2" t="s">
        <v>5955</v>
      </c>
      <c r="C1985" s="3" t="s">
        <v>5956</v>
      </c>
      <c r="D1985" s="3" t="str">
        <f ca="1">IFERROR(__xludf.DUMMYFUNCTION("GOOGLETRANSLATE(A1985,""fr"",""en"")"),"to fly away")</f>
        <v>to fly away</v>
      </c>
      <c r="E1985" s="3" t="str">
        <f ca="1">IFERROR(__xludf.DUMMYFUNCTION("GOOGLETRANSLATE(B1985,""fr"",""en"")"),"The plane will fly to its final destination.")</f>
        <v>The plane will fly to its final destination.</v>
      </c>
    </row>
    <row r="1986" spans="1:5" x14ac:dyDescent="0.25">
      <c r="A1986" s="2" t="s">
        <v>5957</v>
      </c>
      <c r="B1986" s="2" t="s">
        <v>5958</v>
      </c>
      <c r="C1986" s="3" t="s">
        <v>5959</v>
      </c>
      <c r="D1986" s="3" t="str">
        <f ca="1">IFERROR(__xludf.DUMMYFUNCTION("GOOGLETRANSLATE(A1986,""fr"",""en"")"),"nibble")</f>
        <v>nibble</v>
      </c>
      <c r="E1986" s="3" t="str">
        <f ca="1">IFERROR(__xludf.DUMMYFUNCTION("GOOGLETRANSLATE(B1986,""fr"",""en"")"),"He likes to snack on cookies throughout the day.")</f>
        <v>He likes to snack on cookies throughout the day.</v>
      </c>
    </row>
    <row r="1987" spans="1:5" x14ac:dyDescent="0.25">
      <c r="A1987" s="2" t="s">
        <v>5960</v>
      </c>
      <c r="B1987" s="2" t="s">
        <v>5961</v>
      </c>
      <c r="C1987" s="3" t="s">
        <v>5962</v>
      </c>
      <c r="D1987" s="3" t="str">
        <f ca="1">IFERROR(__xludf.DUMMYFUNCTION("GOOGLETRANSLATE(A1987,""fr"",""en"")"),"lubricate")</f>
        <v>lubricate</v>
      </c>
      <c r="E1987" s="3" t="str">
        <f ca="1">IFERROR(__xludf.DUMMYFUNCTION("GOOGLETRANSLATE(B1987,""fr"",""en"")"),"Moving parts must be lubricated to prevent wear.")</f>
        <v>Moving parts must be lubricated to prevent wear.</v>
      </c>
    </row>
    <row r="1988" spans="1:5" x14ac:dyDescent="0.25">
      <c r="A1988" s="2" t="s">
        <v>5963</v>
      </c>
      <c r="B1988" s="2" t="s">
        <v>5964</v>
      </c>
      <c r="C1988" s="3" t="s">
        <v>5965</v>
      </c>
      <c r="D1988" s="3" t="str">
        <f ca="1">IFERROR(__xludf.DUMMYFUNCTION("GOOGLETRANSLATE(A1988,""fr"",""en"")"),"underclose")</f>
        <v>underclose</v>
      </c>
      <c r="E1988" s="3" t="str">
        <f ca="1">IFERROR(__xludf.DUMMYFUNCTION("GOOGLETRANSLATE(B1988,""fr"",""en"")"),"They're going to shut down the factory during the holidays.")</f>
        <v>They're going to shut down the factory during the holidays.</v>
      </c>
    </row>
    <row r="1989" spans="1:5" x14ac:dyDescent="0.25">
      <c r="A1989" s="2" t="s">
        <v>5966</v>
      </c>
      <c r="B1989" s="2" t="s">
        <v>5967</v>
      </c>
      <c r="C1989" s="3" t="s">
        <v>5968</v>
      </c>
      <c r="D1989" s="3" t="str">
        <f ca="1">IFERROR(__xludf.DUMMYFUNCTION("GOOGLETRANSLATE(A1989,""fr"",""en"")"),"round")</f>
        <v>round</v>
      </c>
      <c r="E1989" s="3" t="str">
        <f ca="1">IFERROR(__xludf.DUMMYFUNCTION("GOOGLETRANSLATE(B1989,""fr"",""en"")"),"She likes to smooth things over to avoid conflicts.")</f>
        <v>She likes to smooth things over to avoid conflicts.</v>
      </c>
    </row>
    <row r="1990" spans="1:5" x14ac:dyDescent="0.25">
      <c r="A1990" s="2" t="s">
        <v>5969</v>
      </c>
      <c r="B1990" s="2" t="s">
        <v>5970</v>
      </c>
      <c r="C1990" s="3" t="s">
        <v>5971</v>
      </c>
      <c r="D1990" s="3" t="str">
        <f ca="1">IFERROR(__xludf.DUMMYFUNCTION("GOOGLETRANSLATE(A1990,""fr"",""en"")"),"layer")</f>
        <v>layer</v>
      </c>
      <c r="E1990" s="3" t="str">
        <f ca="1">IFERROR(__xludf.DUMMYFUNCTION("GOOGLETRANSLATE(B1990,""fr"",""en"")"),"Graphic designers will layer elements to create a complex image.")</f>
        <v>Graphic designers will layer elements to create a complex image.</v>
      </c>
    </row>
    <row r="1991" spans="1:5" x14ac:dyDescent="0.25">
      <c r="A1991" s="2" t="s">
        <v>5972</v>
      </c>
      <c r="B1991" s="2" t="s">
        <v>5973</v>
      </c>
      <c r="C1991" s="3" t="s">
        <v>5974</v>
      </c>
      <c r="D1991" s="3" t="str">
        <f ca="1">IFERROR(__xludf.DUMMYFUNCTION("GOOGLETRANSLATE(A1991,""fr"",""en"")"),"resonate")</f>
        <v>resonate</v>
      </c>
      <c r="E1991" s="3" t="str">
        <f ca="1">IFERROR(__xludf.DUMMYFUNCTION("GOOGLETRANSLATE(B1991,""fr"",""en"")"),"The bell will ring to announce the end of class.")</f>
        <v>The bell will ring to announce the end of class.</v>
      </c>
    </row>
    <row r="1992" spans="1:5" x14ac:dyDescent="0.25">
      <c r="A1992" s="2" t="s">
        <v>5975</v>
      </c>
      <c r="B1992" s="2" t="s">
        <v>5976</v>
      </c>
      <c r="C1992" s="3" t="s">
        <v>5977</v>
      </c>
      <c r="D1992" s="3" t="str">
        <f ca="1">IFERROR(__xludf.DUMMYFUNCTION("GOOGLETRANSLATE(A1992,""fr"",""en"")"),"subdivide")</f>
        <v>subdivide</v>
      </c>
      <c r="E1992" s="3" t="str">
        <f ca="1">IFERROR(__xludf.DUMMYFUNCTION("GOOGLETRANSLATE(B1992,""fr"",""en"")"),"He decided to subdivide the land into several lots.")</f>
        <v>He decided to subdivide the land into several lots.</v>
      </c>
    </row>
    <row r="1993" spans="1:5" x14ac:dyDescent="0.25">
      <c r="A1993" s="2" t="s">
        <v>5978</v>
      </c>
      <c r="B1993" s="2" t="s">
        <v>5979</v>
      </c>
      <c r="C1993" s="3" t="s">
        <v>5980</v>
      </c>
      <c r="D1993" s="3" t="str">
        <f ca="1">IFERROR(__xludf.DUMMYFUNCTION("GOOGLETRANSLATE(A1993,""fr"",""en"")"),"to be proud")</f>
        <v>to be proud</v>
      </c>
      <c r="E1993" s="3" t="str">
        <f ca="1">IFERROR(__xludf.DUMMYFUNCTION("GOOGLETRANSLATE(B1993,""fr"",""en"")"),"The recognition of his talents made him proud.")</f>
        <v>The recognition of his talents made him proud.</v>
      </c>
    </row>
    <row r="1994" spans="1:5" x14ac:dyDescent="0.25">
      <c r="A1994" s="2" t="s">
        <v>5981</v>
      </c>
      <c r="B1994" s="2" t="s">
        <v>5982</v>
      </c>
      <c r="C1994" s="3" t="s">
        <v>5983</v>
      </c>
      <c r="D1994" s="3" t="str">
        <f ca="1">IFERROR(__xludf.DUMMYFUNCTION("GOOGLETRANSLATE(A1994,""fr"",""en"")"),"remodel")</f>
        <v>remodel</v>
      </c>
      <c r="E1994" s="3" t="str">
        <f ca="1">IFERROR(__xludf.DUMMYFUNCTION("GOOGLETRANSLATE(B1994,""fr"",""en"")"),"This old house needs to be remodeled to modernize it.")</f>
        <v>This old house needs to be remodeled to modernize it.</v>
      </c>
    </row>
    <row r="1995" spans="1:5" x14ac:dyDescent="0.25">
      <c r="A1995" s="2" t="s">
        <v>5984</v>
      </c>
      <c r="B1995" s="2" t="s">
        <v>5985</v>
      </c>
      <c r="C1995" s="3" t="s">
        <v>5986</v>
      </c>
      <c r="D1995" s="3" t="str">
        <f ca="1">IFERROR(__xludf.DUMMYFUNCTION("GOOGLETRANSLATE(A1995,""fr"",""en"")"),"to overwhelm")</f>
        <v>to overwhelm</v>
      </c>
      <c r="E1995" s="3" t="str">
        <f ca="1">IFERROR(__xludf.DUMMYFUNCTION("GOOGLETRANSLATE(B1995,""fr"",""en"")"),"Critics will be heaping havoc on the team after this defeat.")</f>
        <v>Critics will be heaping havoc on the team after this defeat.</v>
      </c>
    </row>
    <row r="1996" spans="1:5" x14ac:dyDescent="0.25">
      <c r="A1996" s="2" t="s">
        <v>5987</v>
      </c>
      <c r="B1996" s="2" t="s">
        <v>5988</v>
      </c>
      <c r="C1996" s="3" t="s">
        <v>5989</v>
      </c>
      <c r="D1996" s="3" t="str">
        <f ca="1">IFERROR(__xludf.DUMMYFUNCTION("GOOGLETRANSLATE(A1996,""fr"",""en"")"),"unfold")</f>
        <v>unfold</v>
      </c>
      <c r="E1996" s="3" t="str">
        <f ca="1">IFERROR(__xludf.DUMMYFUNCTION("GOOGLETRANSLATE(B1996,""fr"",""en"")"),"He will unfold the map to find their current position.")</f>
        <v>He will unfold the map to find their current position.</v>
      </c>
    </row>
    <row r="1997" spans="1:5" x14ac:dyDescent="0.25">
      <c r="A1997" s="2" t="s">
        <v>5990</v>
      </c>
      <c r="B1997" s="2" t="s">
        <v>5991</v>
      </c>
      <c r="C1997" s="3" t="s">
        <v>5992</v>
      </c>
      <c r="D1997" s="3" t="str">
        <f ca="1">IFERROR(__xludf.DUMMYFUNCTION("GOOGLETRANSLATE(A1997,""fr"",""en"")"),"remove")</f>
        <v>remove</v>
      </c>
      <c r="E1997" s="3" t="str">
        <f ca="1">IFERROR(__xludf.DUMMYFUNCTION("GOOGLETRANSLATE(B1997,""fr"",""en"")"),"They are going to impeach the president for corruption.")</f>
        <v>They are going to impeach the president for corruption.</v>
      </c>
    </row>
    <row r="1998" spans="1:5" x14ac:dyDescent="0.25">
      <c r="A1998" s="2" t="s">
        <v>5993</v>
      </c>
      <c r="B1998" s="2" t="s">
        <v>5994</v>
      </c>
      <c r="C1998" s="3" t="s">
        <v>5995</v>
      </c>
      <c r="D1998" s="3" t="str">
        <f ca="1">IFERROR(__xludf.DUMMYFUNCTION("GOOGLETRANSLATE(A1998,""fr"",""en"")"),"to marinate")</f>
        <v>to marinate</v>
      </c>
      <c r="E1998" s="3" t="str">
        <f ca="1">IFERROR(__xludf.DUMMYFUNCTION("GOOGLETRANSLATE(B1998,""fr"",""en"")"),"The fish should marinate in the sauce before cooking.")</f>
        <v>The fish should marinate in the sauce before cooking.</v>
      </c>
    </row>
    <row r="1999" spans="1:5" x14ac:dyDescent="0.25">
      <c r="A1999" s="2" t="s">
        <v>5996</v>
      </c>
      <c r="B1999" s="2" t="s">
        <v>5997</v>
      </c>
      <c r="C1999" s="3" t="s">
        <v>5998</v>
      </c>
      <c r="D1999" s="3" t="str">
        <f ca="1">IFERROR(__xludf.DUMMYFUNCTION("GOOGLETRANSLATE(A1999,""fr"",""en"")"),"feel")</f>
        <v>feel</v>
      </c>
      <c r="E1999" s="3" t="str">
        <f ca="1">IFERROR(__xludf.DUMMYFUNCTION("GOOGLETRANSLATE(B1999,""fr"",""en"")"),"You have to test the waters before making a decision.")</f>
        <v>You have to test the waters before making a decision.</v>
      </c>
    </row>
    <row r="2000" spans="1:5" x14ac:dyDescent="0.25">
      <c r="A2000" s="2" t="s">
        <v>5999</v>
      </c>
      <c r="B2000" s="2" t="s">
        <v>6000</v>
      </c>
      <c r="C2000" s="3" t="s">
        <v>6001</v>
      </c>
      <c r="D2000" s="3" t="str">
        <f ca="1">IFERROR(__xludf.DUMMYFUNCTION("GOOGLETRANSLATE(A2000,""fr"",""en"")"),"to scare")</f>
        <v>to scare</v>
      </c>
      <c r="E2000" s="3" t="str">
        <f ca="1">IFERROR(__xludf.DUMMYFUNCTION("GOOGLETRANSLATE(B2000,""fr"",""en"")"),"The new regulations will scare investors.")</f>
        <v>The new regulations will scare investors.</v>
      </c>
    </row>
    <row r="2001" spans="1:5" x14ac:dyDescent="0.25">
      <c r="A2001" s="2" t="s">
        <v>6002</v>
      </c>
      <c r="B2001" s="2" t="s">
        <v>6003</v>
      </c>
      <c r="C2001" s="3" t="s">
        <v>6004</v>
      </c>
      <c r="D2001" s="3" t="str">
        <f ca="1">IFERROR(__xludf.DUMMYFUNCTION("GOOGLETRANSLATE(A2001,""fr"",""en"")"),"eclipse")</f>
        <v>eclipse</v>
      </c>
      <c r="E2001" s="3" t="str">
        <f ca="1">IFERROR(__xludf.DUMMYFUNCTION("GOOGLETRANSLATE(B2001,""fr"",""en"")"),"Clouds will eclipse the sun for a few hours.")</f>
        <v>Clouds will eclipse the sun for a few hours.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D028-DEE1-433C-95F1-A19F45CCCB81}">
  <sheetPr codeName="Sheet1"/>
  <dimension ref="A1:W52"/>
  <sheetViews>
    <sheetView tabSelected="1" topLeftCell="E1" zoomScale="89" zoomScaleNormal="115" workbookViewId="0">
      <selection activeCell="T29" sqref="T29"/>
    </sheetView>
  </sheetViews>
  <sheetFormatPr defaultRowHeight="13.2" x14ac:dyDescent="0.25"/>
  <cols>
    <col min="1" max="1" width="11.21875" bestFit="1" customWidth="1"/>
    <col min="2" max="2" width="50.21875" bestFit="1" customWidth="1"/>
    <col min="3" max="3" width="12" bestFit="1" customWidth="1"/>
    <col min="4" max="4" width="43.77734375" bestFit="1" customWidth="1"/>
    <col min="5" max="5" width="14.21875" bestFit="1" customWidth="1"/>
    <col min="17" max="17" width="13.33203125" bestFit="1" customWidth="1"/>
    <col min="18" max="18" width="9.5546875" bestFit="1" customWidth="1"/>
    <col min="19" max="19" width="14.77734375" bestFit="1" customWidth="1"/>
    <col min="22" max="22" width="12.33203125" bestFit="1" customWidth="1"/>
  </cols>
  <sheetData>
    <row r="1" spans="1:23" x14ac:dyDescent="0.25">
      <c r="A1" s="4" t="s">
        <v>6006</v>
      </c>
      <c r="B1" s="4" t="s">
        <v>6007</v>
      </c>
      <c r="C1" s="4" t="s">
        <v>6008</v>
      </c>
      <c r="D1" s="4" t="s">
        <v>6009</v>
      </c>
      <c r="E1" s="4" t="s">
        <v>6010</v>
      </c>
      <c r="F1" s="4" t="s">
        <v>6011</v>
      </c>
      <c r="G1" s="4"/>
      <c r="H1" s="4"/>
      <c r="Q1" s="8" t="s">
        <v>6213</v>
      </c>
      <c r="S1" s="7" t="s">
        <v>6216</v>
      </c>
    </row>
    <row r="2" spans="1:23" x14ac:dyDescent="0.25">
      <c r="A2" t="s">
        <v>4</v>
      </c>
      <c r="B2" t="s">
        <v>5</v>
      </c>
      <c r="C2" t="s">
        <v>6012</v>
      </c>
      <c r="D2" t="s">
        <v>6013</v>
      </c>
      <c r="E2" t="s">
        <v>6014</v>
      </c>
      <c r="F2" t="s">
        <v>6015</v>
      </c>
    </row>
    <row r="3" spans="1:23" x14ac:dyDescent="0.25">
      <c r="A3" t="s">
        <v>7</v>
      </c>
      <c r="B3" t="s">
        <v>8</v>
      </c>
      <c r="C3" t="s">
        <v>6016</v>
      </c>
      <c r="D3" t="s">
        <v>6017</v>
      </c>
      <c r="E3" t="s">
        <v>6018</v>
      </c>
      <c r="F3" t="s">
        <v>6019</v>
      </c>
      <c r="Q3" s="7" t="s">
        <v>6217</v>
      </c>
      <c r="R3" s="7" t="s">
        <v>6218</v>
      </c>
      <c r="S3" s="7" t="s">
        <v>6219</v>
      </c>
      <c r="U3" t="s">
        <v>6227</v>
      </c>
      <c r="V3" t="s">
        <v>6228</v>
      </c>
      <c r="W3" t="s">
        <v>6229</v>
      </c>
    </row>
    <row r="4" spans="1:23" x14ac:dyDescent="0.25">
      <c r="A4" t="s">
        <v>10</v>
      </c>
      <c r="B4" t="s">
        <v>11</v>
      </c>
      <c r="C4" t="s">
        <v>6020</v>
      </c>
      <c r="D4" t="s">
        <v>6021</v>
      </c>
      <c r="E4" t="s">
        <v>6022</v>
      </c>
      <c r="F4" t="s">
        <v>6023</v>
      </c>
      <c r="Q4" t="s">
        <v>6214</v>
      </c>
      <c r="R4" s="7" t="s">
        <v>6215</v>
      </c>
      <c r="S4" s="7" t="s">
        <v>6220</v>
      </c>
    </row>
    <row r="5" spans="1:23" x14ac:dyDescent="0.25">
      <c r="A5" t="s">
        <v>13</v>
      </c>
      <c r="B5" t="s">
        <v>14</v>
      </c>
      <c r="C5" t="s">
        <v>6024</v>
      </c>
      <c r="D5" t="s">
        <v>6025</v>
      </c>
      <c r="E5" t="s">
        <v>6026</v>
      </c>
      <c r="F5" t="s">
        <v>6027</v>
      </c>
      <c r="Q5" s="7" t="s">
        <v>6221</v>
      </c>
      <c r="R5" s="7" t="s">
        <v>6222</v>
      </c>
    </row>
    <row r="6" spans="1:23" x14ac:dyDescent="0.25">
      <c r="A6" t="s">
        <v>16</v>
      </c>
      <c r="B6" t="s">
        <v>17</v>
      </c>
      <c r="C6" t="s">
        <v>6028</v>
      </c>
      <c r="D6" t="s">
        <v>6029</v>
      </c>
      <c r="E6" t="s">
        <v>6030</v>
      </c>
      <c r="F6" t="s">
        <v>6031</v>
      </c>
      <c r="Q6" t="s">
        <v>6223</v>
      </c>
      <c r="R6" s="7" t="s">
        <v>6224</v>
      </c>
      <c r="S6" s="7" t="s">
        <v>6225</v>
      </c>
    </row>
    <row r="7" spans="1:23" x14ac:dyDescent="0.25">
      <c r="A7" t="s">
        <v>19</v>
      </c>
      <c r="B7" t="s">
        <v>20</v>
      </c>
      <c r="C7" t="s">
        <v>6032</v>
      </c>
      <c r="D7" t="s">
        <v>6033</v>
      </c>
      <c r="E7" t="s">
        <v>6034</v>
      </c>
      <c r="F7" t="s">
        <v>6035</v>
      </c>
      <c r="Q7" t="s">
        <v>6230</v>
      </c>
      <c r="R7" s="7" t="s">
        <v>6231</v>
      </c>
    </row>
    <row r="8" spans="1:23" x14ac:dyDescent="0.25">
      <c r="A8" t="s">
        <v>22</v>
      </c>
      <c r="B8" t="s">
        <v>23</v>
      </c>
      <c r="C8" t="s">
        <v>6036</v>
      </c>
      <c r="D8" t="s">
        <v>6037</v>
      </c>
      <c r="E8" s="7" t="s">
        <v>6226</v>
      </c>
      <c r="F8" t="s">
        <v>6038</v>
      </c>
    </row>
    <row r="9" spans="1:23" x14ac:dyDescent="0.25">
      <c r="A9" t="s">
        <v>25</v>
      </c>
      <c r="B9" t="s">
        <v>26</v>
      </c>
      <c r="C9" t="s">
        <v>6039</v>
      </c>
      <c r="D9" t="s">
        <v>6040</v>
      </c>
      <c r="E9" t="s">
        <v>6041</v>
      </c>
      <c r="F9" t="s">
        <v>6042</v>
      </c>
    </row>
    <row r="10" spans="1:23" x14ac:dyDescent="0.25">
      <c r="A10" t="s">
        <v>28</v>
      </c>
      <c r="B10" t="s">
        <v>29</v>
      </c>
      <c r="C10" t="s">
        <v>31</v>
      </c>
      <c r="D10" t="s">
        <v>6043</v>
      </c>
      <c r="E10" t="s">
        <v>6044</v>
      </c>
      <c r="F10" t="s">
        <v>6045</v>
      </c>
    </row>
    <row r="11" spans="1:23" x14ac:dyDescent="0.25">
      <c r="A11" t="s">
        <v>32</v>
      </c>
      <c r="B11" t="s">
        <v>33</v>
      </c>
      <c r="C11" t="s">
        <v>6046</v>
      </c>
      <c r="D11" t="s">
        <v>6047</v>
      </c>
      <c r="E11" t="s">
        <v>6048</v>
      </c>
      <c r="F11" t="s">
        <v>6049</v>
      </c>
    </row>
    <row r="12" spans="1:23" x14ac:dyDescent="0.25">
      <c r="A12" t="s">
        <v>35</v>
      </c>
      <c r="B12" t="s">
        <v>36</v>
      </c>
      <c r="C12" t="s">
        <v>6050</v>
      </c>
      <c r="D12" t="s">
        <v>6051</v>
      </c>
      <c r="E12" t="s">
        <v>6052</v>
      </c>
      <c r="F12" t="s">
        <v>6053</v>
      </c>
    </row>
    <row r="13" spans="1:23" x14ac:dyDescent="0.25">
      <c r="A13" t="s">
        <v>38</v>
      </c>
      <c r="B13" t="s">
        <v>39</v>
      </c>
      <c r="C13" t="s">
        <v>6054</v>
      </c>
      <c r="D13" t="s">
        <v>6055</v>
      </c>
      <c r="E13" t="s">
        <v>6056</v>
      </c>
      <c r="F13" t="s">
        <v>6057</v>
      </c>
      <c r="L13" s="6"/>
    </row>
    <row r="14" spans="1:23" x14ac:dyDescent="0.25">
      <c r="A14" t="s">
        <v>41</v>
      </c>
      <c r="B14" t="s">
        <v>42</v>
      </c>
      <c r="C14" t="s">
        <v>6058</v>
      </c>
      <c r="D14" t="s">
        <v>6059</v>
      </c>
      <c r="E14" t="s">
        <v>6060</v>
      </c>
      <c r="F14" t="s">
        <v>6061</v>
      </c>
      <c r="L14" s="6"/>
    </row>
    <row r="15" spans="1:23" x14ac:dyDescent="0.25">
      <c r="A15" t="s">
        <v>44</v>
      </c>
      <c r="B15" t="s">
        <v>45</v>
      </c>
      <c r="C15" t="s">
        <v>6062</v>
      </c>
      <c r="D15" t="s">
        <v>6063</v>
      </c>
      <c r="E15" t="s">
        <v>6064</v>
      </c>
      <c r="F15" t="s">
        <v>6065</v>
      </c>
      <c r="L15" s="6"/>
    </row>
    <row r="16" spans="1:23" x14ac:dyDescent="0.25">
      <c r="A16" t="s">
        <v>47</v>
      </c>
      <c r="B16" t="s">
        <v>48</v>
      </c>
      <c r="C16" t="s">
        <v>6066</v>
      </c>
      <c r="D16" t="s">
        <v>6067</v>
      </c>
      <c r="E16" t="s">
        <v>6068</v>
      </c>
      <c r="F16" t="s">
        <v>6069</v>
      </c>
      <c r="L16" s="6"/>
    </row>
    <row r="17" spans="1:12" x14ac:dyDescent="0.25">
      <c r="A17" t="s">
        <v>50</v>
      </c>
      <c r="B17" t="s">
        <v>6005</v>
      </c>
      <c r="C17" t="s">
        <v>6070</v>
      </c>
      <c r="D17" t="s">
        <v>6071</v>
      </c>
      <c r="E17" t="s">
        <v>6072</v>
      </c>
      <c r="F17" t="s">
        <v>6073</v>
      </c>
      <c r="L17" s="6"/>
    </row>
    <row r="18" spans="1:12" x14ac:dyDescent="0.25">
      <c r="A18" t="s">
        <v>53</v>
      </c>
      <c r="B18" t="s">
        <v>54</v>
      </c>
      <c r="C18" t="s">
        <v>6074</v>
      </c>
      <c r="D18" t="s">
        <v>6075</v>
      </c>
      <c r="E18" t="s">
        <v>6076</v>
      </c>
      <c r="F18" t="s">
        <v>6077</v>
      </c>
      <c r="L18" s="6"/>
    </row>
    <row r="19" spans="1:12" x14ac:dyDescent="0.25">
      <c r="A19" t="s">
        <v>56</v>
      </c>
      <c r="B19" t="s">
        <v>57</v>
      </c>
      <c r="C19" t="s">
        <v>6078</v>
      </c>
      <c r="D19" t="s">
        <v>6079</v>
      </c>
      <c r="E19" t="s">
        <v>6080</v>
      </c>
      <c r="F19" t="s">
        <v>6081</v>
      </c>
      <c r="L19" s="6"/>
    </row>
    <row r="20" spans="1:12" x14ac:dyDescent="0.25">
      <c r="A20" t="s">
        <v>59</v>
      </c>
      <c r="B20" t="s">
        <v>60</v>
      </c>
      <c r="C20" t="s">
        <v>6082</v>
      </c>
      <c r="D20" t="s">
        <v>6083</v>
      </c>
      <c r="E20" t="s">
        <v>6084</v>
      </c>
      <c r="F20" t="s">
        <v>6085</v>
      </c>
      <c r="L20" s="6"/>
    </row>
    <row r="21" spans="1:12" x14ac:dyDescent="0.25">
      <c r="A21" t="s">
        <v>62</v>
      </c>
      <c r="B21" t="s">
        <v>63</v>
      </c>
      <c r="C21" t="s">
        <v>6086</v>
      </c>
      <c r="D21" t="s">
        <v>6087</v>
      </c>
      <c r="E21" t="s">
        <v>6088</v>
      </c>
      <c r="F21" t="s">
        <v>6089</v>
      </c>
      <c r="L21" s="6"/>
    </row>
    <row r="22" spans="1:12" x14ac:dyDescent="0.25">
      <c r="A22" t="s">
        <v>65</v>
      </c>
      <c r="B22" t="s">
        <v>66</v>
      </c>
      <c r="C22" t="s">
        <v>6090</v>
      </c>
      <c r="D22" t="s">
        <v>6091</v>
      </c>
      <c r="E22" t="s">
        <v>6092</v>
      </c>
      <c r="F22" t="s">
        <v>6093</v>
      </c>
      <c r="L22" s="6"/>
    </row>
    <row r="23" spans="1:12" x14ac:dyDescent="0.25">
      <c r="A23" t="s">
        <v>68</v>
      </c>
      <c r="B23" t="s">
        <v>69</v>
      </c>
      <c r="C23" t="s">
        <v>6094</v>
      </c>
      <c r="D23" t="s">
        <v>6095</v>
      </c>
      <c r="E23" t="s">
        <v>6096</v>
      </c>
      <c r="F23" t="s">
        <v>6097</v>
      </c>
      <c r="L23" s="6"/>
    </row>
    <row r="24" spans="1:12" x14ac:dyDescent="0.25">
      <c r="A24" t="s">
        <v>71</v>
      </c>
      <c r="B24" t="s">
        <v>72</v>
      </c>
      <c r="C24" t="s">
        <v>6098</v>
      </c>
      <c r="D24" t="s">
        <v>6099</v>
      </c>
      <c r="E24" t="s">
        <v>6100</v>
      </c>
      <c r="F24" t="s">
        <v>6101</v>
      </c>
      <c r="L24" s="6"/>
    </row>
    <row r="25" spans="1:12" x14ac:dyDescent="0.25">
      <c r="A25" t="s">
        <v>74</v>
      </c>
      <c r="B25" t="s">
        <v>75</v>
      </c>
      <c r="C25" t="s">
        <v>6102</v>
      </c>
      <c r="D25" t="s">
        <v>6103</v>
      </c>
      <c r="E25" t="s">
        <v>6104</v>
      </c>
      <c r="F25" t="s">
        <v>6105</v>
      </c>
      <c r="L25" s="6"/>
    </row>
    <row r="26" spans="1:12" x14ac:dyDescent="0.25">
      <c r="A26" t="s">
        <v>77</v>
      </c>
      <c r="B26" t="s">
        <v>78</v>
      </c>
      <c r="C26" t="s">
        <v>6106</v>
      </c>
      <c r="D26" t="s">
        <v>6107</v>
      </c>
      <c r="E26" t="s">
        <v>6108</v>
      </c>
      <c r="F26" t="s">
        <v>6109</v>
      </c>
      <c r="L26" s="6"/>
    </row>
    <row r="27" spans="1:12" x14ac:dyDescent="0.25">
      <c r="A27" t="s">
        <v>80</v>
      </c>
      <c r="B27" t="s">
        <v>81</v>
      </c>
      <c r="C27" t="s">
        <v>6110</v>
      </c>
      <c r="D27" t="s">
        <v>6111</v>
      </c>
      <c r="E27" t="s">
        <v>6112</v>
      </c>
      <c r="F27" s="5" t="s">
        <v>6113</v>
      </c>
      <c r="L27" s="6"/>
    </row>
    <row r="28" spans="1:12" x14ac:dyDescent="0.25">
      <c r="A28" t="s">
        <v>83</v>
      </c>
      <c r="B28" t="s">
        <v>84</v>
      </c>
      <c r="C28" t="s">
        <v>6114</v>
      </c>
      <c r="D28" t="s">
        <v>6115</v>
      </c>
      <c r="E28" t="s">
        <v>6116</v>
      </c>
      <c r="F28" t="s">
        <v>6117</v>
      </c>
    </row>
    <row r="29" spans="1:12" x14ac:dyDescent="0.25">
      <c r="A29" t="s">
        <v>86</v>
      </c>
      <c r="B29" t="s">
        <v>87</v>
      </c>
      <c r="C29" t="s">
        <v>6118</v>
      </c>
      <c r="D29" t="s">
        <v>6119</v>
      </c>
      <c r="E29" t="s">
        <v>6120</v>
      </c>
      <c r="F29" t="s">
        <v>6121</v>
      </c>
    </row>
    <row r="30" spans="1:12" x14ac:dyDescent="0.25">
      <c r="A30" t="s">
        <v>89</v>
      </c>
      <c r="B30" t="s">
        <v>90</v>
      </c>
      <c r="C30" t="s">
        <v>6122</v>
      </c>
      <c r="D30" t="s">
        <v>6123</v>
      </c>
      <c r="E30" t="s">
        <v>6124</v>
      </c>
      <c r="F30" t="s">
        <v>6125</v>
      </c>
    </row>
    <row r="31" spans="1:12" x14ac:dyDescent="0.25">
      <c r="A31" t="s">
        <v>92</v>
      </c>
      <c r="B31" t="s">
        <v>93</v>
      </c>
      <c r="C31" t="s">
        <v>6126</v>
      </c>
      <c r="D31" t="s">
        <v>6127</v>
      </c>
      <c r="E31" t="s">
        <v>6128</v>
      </c>
      <c r="F31" t="s">
        <v>6129</v>
      </c>
    </row>
    <row r="32" spans="1:12" x14ac:dyDescent="0.25">
      <c r="A32" t="s">
        <v>95</v>
      </c>
      <c r="B32" t="s">
        <v>96</v>
      </c>
      <c r="C32" t="s">
        <v>6130</v>
      </c>
      <c r="D32" t="s">
        <v>6131</v>
      </c>
      <c r="E32" t="s">
        <v>6132</v>
      </c>
      <c r="F32" t="s">
        <v>6133</v>
      </c>
    </row>
    <row r="33" spans="1:12" x14ac:dyDescent="0.25">
      <c r="A33" t="s">
        <v>98</v>
      </c>
      <c r="B33" t="s">
        <v>99</v>
      </c>
      <c r="C33" t="s">
        <v>6134</v>
      </c>
      <c r="D33" t="s">
        <v>6135</v>
      </c>
      <c r="E33" t="s">
        <v>6136</v>
      </c>
      <c r="F33" t="s">
        <v>6137</v>
      </c>
    </row>
    <row r="34" spans="1:12" x14ac:dyDescent="0.25">
      <c r="A34" t="s">
        <v>101</v>
      </c>
      <c r="B34" t="s">
        <v>102</v>
      </c>
      <c r="C34" t="s">
        <v>6138</v>
      </c>
      <c r="D34" t="s">
        <v>6139</v>
      </c>
      <c r="E34" t="s">
        <v>6140</v>
      </c>
      <c r="F34" t="s">
        <v>6141</v>
      </c>
    </row>
    <row r="35" spans="1:12" x14ac:dyDescent="0.25">
      <c r="A35" t="s">
        <v>104</v>
      </c>
      <c r="B35" t="s">
        <v>105</v>
      </c>
      <c r="C35" t="s">
        <v>6142</v>
      </c>
      <c r="D35" t="s">
        <v>6143</v>
      </c>
      <c r="E35" t="s">
        <v>6144</v>
      </c>
      <c r="F35" t="s">
        <v>6145</v>
      </c>
    </row>
    <row r="36" spans="1:12" x14ac:dyDescent="0.25">
      <c r="A36" t="s">
        <v>107</v>
      </c>
      <c r="B36" t="s">
        <v>108</v>
      </c>
      <c r="C36" t="s">
        <v>6146</v>
      </c>
      <c r="D36" t="s">
        <v>6147</v>
      </c>
      <c r="E36" t="s">
        <v>6148</v>
      </c>
      <c r="F36" t="s">
        <v>6149</v>
      </c>
    </row>
    <row r="37" spans="1:12" x14ac:dyDescent="0.25">
      <c r="A37" t="s">
        <v>110</v>
      </c>
      <c r="B37" t="s">
        <v>111</v>
      </c>
      <c r="C37" t="s">
        <v>6150</v>
      </c>
      <c r="D37" t="s">
        <v>6151</v>
      </c>
      <c r="E37" t="s">
        <v>6152</v>
      </c>
      <c r="F37" t="s">
        <v>6153</v>
      </c>
    </row>
    <row r="38" spans="1:12" x14ac:dyDescent="0.25">
      <c r="A38" t="s">
        <v>113</v>
      </c>
      <c r="B38" t="s">
        <v>114</v>
      </c>
      <c r="C38" t="s">
        <v>6036</v>
      </c>
      <c r="D38" t="s">
        <v>6154</v>
      </c>
      <c r="E38" t="s">
        <v>6155</v>
      </c>
      <c r="F38" t="s">
        <v>6156</v>
      </c>
    </row>
    <row r="39" spans="1:12" x14ac:dyDescent="0.25">
      <c r="A39" t="s">
        <v>116</v>
      </c>
      <c r="B39" t="s">
        <v>117</v>
      </c>
      <c r="C39" t="s">
        <v>6157</v>
      </c>
      <c r="D39" t="s">
        <v>6158</v>
      </c>
      <c r="E39" t="s">
        <v>6159</v>
      </c>
      <c r="F39" t="s">
        <v>6160</v>
      </c>
    </row>
    <row r="40" spans="1:12" x14ac:dyDescent="0.25">
      <c r="A40" t="s">
        <v>119</v>
      </c>
      <c r="B40" t="s">
        <v>120</v>
      </c>
      <c r="C40" t="s">
        <v>6161</v>
      </c>
      <c r="D40" t="s">
        <v>6162</v>
      </c>
      <c r="E40" t="s">
        <v>6163</v>
      </c>
      <c r="F40" t="s">
        <v>6164</v>
      </c>
      <c r="L40" s="6"/>
    </row>
    <row r="41" spans="1:12" x14ac:dyDescent="0.25">
      <c r="A41" t="s">
        <v>122</v>
      </c>
      <c r="B41" t="s">
        <v>123</v>
      </c>
      <c r="C41" t="s">
        <v>6165</v>
      </c>
      <c r="D41" t="s">
        <v>6166</v>
      </c>
      <c r="E41" t="s">
        <v>6167</v>
      </c>
      <c r="F41" t="s">
        <v>6168</v>
      </c>
      <c r="L41" s="6"/>
    </row>
    <row r="42" spans="1:12" x14ac:dyDescent="0.25">
      <c r="A42" t="s">
        <v>125</v>
      </c>
      <c r="B42" t="s">
        <v>126</v>
      </c>
      <c r="C42" t="s">
        <v>6169</v>
      </c>
      <c r="D42" t="s">
        <v>6170</v>
      </c>
      <c r="E42" t="s">
        <v>6171</v>
      </c>
      <c r="F42" t="s">
        <v>6172</v>
      </c>
      <c r="L42" s="6"/>
    </row>
    <row r="43" spans="1:12" x14ac:dyDescent="0.25">
      <c r="A43" t="s">
        <v>128</v>
      </c>
      <c r="B43" t="s">
        <v>129</v>
      </c>
      <c r="C43" t="s">
        <v>6173</v>
      </c>
      <c r="D43" t="s">
        <v>6174</v>
      </c>
      <c r="E43" t="s">
        <v>6175</v>
      </c>
      <c r="F43" t="s">
        <v>6176</v>
      </c>
      <c r="L43" s="6"/>
    </row>
    <row r="44" spans="1:12" x14ac:dyDescent="0.25">
      <c r="A44" t="s">
        <v>131</v>
      </c>
      <c r="B44" t="s">
        <v>132</v>
      </c>
      <c r="C44" t="s">
        <v>6177</v>
      </c>
      <c r="D44" t="s">
        <v>6178</v>
      </c>
      <c r="E44" t="s">
        <v>6179</v>
      </c>
      <c r="F44" t="s">
        <v>6180</v>
      </c>
      <c r="L44" s="6"/>
    </row>
    <row r="45" spans="1:12" x14ac:dyDescent="0.25">
      <c r="A45" t="s">
        <v>134</v>
      </c>
      <c r="B45" t="s">
        <v>135</v>
      </c>
      <c r="C45" t="s">
        <v>6181</v>
      </c>
      <c r="D45" t="s">
        <v>6182</v>
      </c>
      <c r="E45" t="s">
        <v>6183</v>
      </c>
      <c r="F45" t="s">
        <v>6184</v>
      </c>
      <c r="L45" s="6"/>
    </row>
    <row r="46" spans="1:12" x14ac:dyDescent="0.25">
      <c r="A46" t="s">
        <v>137</v>
      </c>
      <c r="B46" t="s">
        <v>138</v>
      </c>
      <c r="C46" t="s">
        <v>6185</v>
      </c>
      <c r="D46" t="s">
        <v>6186</v>
      </c>
      <c r="E46" t="s">
        <v>6187</v>
      </c>
      <c r="F46" t="s">
        <v>6188</v>
      </c>
      <c r="L46" s="6"/>
    </row>
    <row r="47" spans="1:12" x14ac:dyDescent="0.25">
      <c r="A47" t="s">
        <v>140</v>
      </c>
      <c r="B47" t="s">
        <v>141</v>
      </c>
      <c r="C47" t="s">
        <v>6189</v>
      </c>
      <c r="D47" t="s">
        <v>6190</v>
      </c>
      <c r="E47" t="s">
        <v>6191</v>
      </c>
      <c r="F47" t="s">
        <v>6192</v>
      </c>
      <c r="L47" s="6"/>
    </row>
    <row r="48" spans="1:12" x14ac:dyDescent="0.25">
      <c r="A48" t="s">
        <v>143</v>
      </c>
      <c r="B48" t="s">
        <v>144</v>
      </c>
      <c r="C48" t="s">
        <v>6193</v>
      </c>
      <c r="D48" t="s">
        <v>6194</v>
      </c>
      <c r="E48" t="s">
        <v>6195</v>
      </c>
      <c r="F48" t="s">
        <v>6196</v>
      </c>
      <c r="L48" s="6"/>
    </row>
    <row r="49" spans="1:12" x14ac:dyDescent="0.25">
      <c r="A49" t="s">
        <v>146</v>
      </c>
      <c r="B49" t="s">
        <v>147</v>
      </c>
      <c r="C49" t="s">
        <v>6197</v>
      </c>
      <c r="D49" t="s">
        <v>6198</v>
      </c>
      <c r="E49" t="s">
        <v>6199</v>
      </c>
      <c r="F49" t="s">
        <v>6200</v>
      </c>
      <c r="L49" s="6"/>
    </row>
    <row r="50" spans="1:12" x14ac:dyDescent="0.25">
      <c r="A50" t="s">
        <v>149</v>
      </c>
      <c r="B50" t="s">
        <v>150</v>
      </c>
      <c r="C50" t="s">
        <v>6201</v>
      </c>
      <c r="D50" t="s">
        <v>6202</v>
      </c>
      <c r="E50" t="s">
        <v>6203</v>
      </c>
      <c r="F50" t="s">
        <v>6204</v>
      </c>
      <c r="L50" s="6"/>
    </row>
    <row r="51" spans="1:12" x14ac:dyDescent="0.25">
      <c r="A51" t="s">
        <v>152</v>
      </c>
      <c r="B51" t="s">
        <v>153</v>
      </c>
      <c r="C51" t="s">
        <v>6205</v>
      </c>
      <c r="D51" t="s">
        <v>6206</v>
      </c>
      <c r="E51" t="s">
        <v>6207</v>
      </c>
      <c r="F51" t="s">
        <v>6208</v>
      </c>
      <c r="L51" s="6"/>
    </row>
    <row r="52" spans="1:12" x14ac:dyDescent="0.25">
      <c r="A52" t="s">
        <v>155</v>
      </c>
      <c r="B52" t="s">
        <v>156</v>
      </c>
      <c r="C52" t="s">
        <v>6209</v>
      </c>
      <c r="D52" t="s">
        <v>6210</v>
      </c>
      <c r="E52" t="s">
        <v>6211</v>
      </c>
      <c r="F52" s="5" t="s">
        <v>6212</v>
      </c>
      <c r="L52" s="6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5" r:id="rId4" name="WindowsMediaPlayer2">
          <controlPr defaultSize="0" autoLine="0" r:id="rId5">
            <anchor moveWithCells="1">
              <from>
                <xdr:col>11</xdr:col>
                <xdr:colOff>220980</xdr:colOff>
                <xdr:row>27</xdr:row>
                <xdr:rowOff>114300</xdr:rowOff>
              </from>
              <to>
                <xdr:col>14</xdr:col>
                <xdr:colOff>15240</xdr:colOff>
                <xdr:row>37</xdr:row>
                <xdr:rowOff>137160</xdr:rowOff>
              </to>
            </anchor>
          </controlPr>
        </control>
      </mc:Choice>
      <mc:Fallback>
        <control shapeId="3075" r:id="rId4" name="WindowsMediaPlayer2"/>
      </mc:Fallback>
    </mc:AlternateContent>
    <mc:AlternateContent xmlns:mc="http://schemas.openxmlformats.org/markup-compatibility/2006">
      <mc:Choice Requires="x14">
        <control shapeId="3073" r:id="rId6" name="WindowsMediaPlayer1">
          <controlPr defaultSize="0" autoLine="0" r:id="rId7">
            <anchor moveWithCells="1">
              <from>
                <xdr:col>9</xdr:col>
                <xdr:colOff>457200</xdr:colOff>
                <xdr:row>1</xdr:row>
                <xdr:rowOff>22860</xdr:rowOff>
              </from>
              <to>
                <xdr:col>12</xdr:col>
                <xdr:colOff>251460</xdr:colOff>
                <xdr:row>11</xdr:row>
                <xdr:rowOff>38100</xdr:rowOff>
              </to>
            </anchor>
          </controlPr>
        </control>
      </mc:Choice>
      <mc:Fallback>
        <control shapeId="3073" r:id="rId6" name="WindowsMediaPlayer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outlinePr summaryBelow="0" summaryRight="0"/>
  </sheetPr>
  <dimension ref="A1:A2000"/>
  <sheetViews>
    <sheetView workbookViewId="0"/>
  </sheetViews>
  <sheetFormatPr defaultColWidth="12.6640625" defaultRowHeight="15.75" customHeight="1" x14ac:dyDescent="0.25"/>
  <sheetData>
    <row r="1" spans="1:1" x14ac:dyDescent="0.25">
      <c r="A1" s="2" t="s">
        <v>5</v>
      </c>
    </row>
    <row r="2" spans="1:1" x14ac:dyDescent="0.25">
      <c r="A2" s="2" t="s">
        <v>8</v>
      </c>
    </row>
    <row r="3" spans="1:1" x14ac:dyDescent="0.25">
      <c r="A3" s="2" t="s">
        <v>11</v>
      </c>
    </row>
    <row r="4" spans="1:1" x14ac:dyDescent="0.25">
      <c r="A4" s="2" t="s">
        <v>14</v>
      </c>
    </row>
    <row r="5" spans="1:1" x14ac:dyDescent="0.25">
      <c r="A5" s="2" t="s">
        <v>17</v>
      </c>
    </row>
    <row r="6" spans="1:1" x14ac:dyDescent="0.25">
      <c r="A6" s="2" t="s">
        <v>20</v>
      </c>
    </row>
    <row r="7" spans="1:1" x14ac:dyDescent="0.25">
      <c r="A7" s="2" t="s">
        <v>23</v>
      </c>
    </row>
    <row r="8" spans="1:1" x14ac:dyDescent="0.25">
      <c r="A8" s="2" t="s">
        <v>26</v>
      </c>
    </row>
    <row r="9" spans="1:1" x14ac:dyDescent="0.25">
      <c r="A9" s="2" t="s">
        <v>29</v>
      </c>
    </row>
    <row r="10" spans="1:1" x14ac:dyDescent="0.25">
      <c r="A10" s="2" t="s">
        <v>33</v>
      </c>
    </row>
    <row r="11" spans="1:1" x14ac:dyDescent="0.25">
      <c r="A11" s="2" t="s">
        <v>36</v>
      </c>
    </row>
    <row r="12" spans="1:1" x14ac:dyDescent="0.25">
      <c r="A12" s="2" t="s">
        <v>39</v>
      </c>
    </row>
    <row r="13" spans="1:1" x14ac:dyDescent="0.25">
      <c r="A13" s="2" t="s">
        <v>42</v>
      </c>
    </row>
    <row r="14" spans="1:1" x14ac:dyDescent="0.25">
      <c r="A14" s="2" t="s">
        <v>45</v>
      </c>
    </row>
    <row r="15" spans="1:1" x14ac:dyDescent="0.25">
      <c r="A15" s="2" t="s">
        <v>48</v>
      </c>
    </row>
    <row r="16" spans="1:1" x14ac:dyDescent="0.25">
      <c r="A16" s="2" t="s">
        <v>6005</v>
      </c>
    </row>
    <row r="17" spans="1:1" x14ac:dyDescent="0.25">
      <c r="A17" s="2" t="s">
        <v>54</v>
      </c>
    </row>
    <row r="18" spans="1:1" x14ac:dyDescent="0.25">
      <c r="A18" s="2" t="s">
        <v>57</v>
      </c>
    </row>
    <row r="19" spans="1:1" x14ac:dyDescent="0.25">
      <c r="A19" s="2" t="s">
        <v>60</v>
      </c>
    </row>
    <row r="20" spans="1:1" x14ac:dyDescent="0.25">
      <c r="A20" s="2" t="s">
        <v>63</v>
      </c>
    </row>
    <row r="21" spans="1:1" x14ac:dyDescent="0.25">
      <c r="A21" s="2" t="s">
        <v>66</v>
      </c>
    </row>
    <row r="22" spans="1:1" x14ac:dyDescent="0.25">
      <c r="A22" s="2" t="s">
        <v>69</v>
      </c>
    </row>
    <row r="23" spans="1:1" x14ac:dyDescent="0.25">
      <c r="A23" s="2" t="s">
        <v>72</v>
      </c>
    </row>
    <row r="24" spans="1:1" x14ac:dyDescent="0.25">
      <c r="A24" s="2" t="s">
        <v>75</v>
      </c>
    </row>
    <row r="25" spans="1:1" x14ac:dyDescent="0.25">
      <c r="A25" s="2" t="s">
        <v>78</v>
      </c>
    </row>
    <row r="26" spans="1:1" x14ac:dyDescent="0.25">
      <c r="A26" s="2" t="s">
        <v>81</v>
      </c>
    </row>
    <row r="27" spans="1:1" x14ac:dyDescent="0.25">
      <c r="A27" s="2" t="s">
        <v>84</v>
      </c>
    </row>
    <row r="28" spans="1:1" x14ac:dyDescent="0.25">
      <c r="A28" s="2" t="s">
        <v>87</v>
      </c>
    </row>
    <row r="29" spans="1:1" x14ac:dyDescent="0.25">
      <c r="A29" s="2" t="s">
        <v>90</v>
      </c>
    </row>
    <row r="30" spans="1:1" x14ac:dyDescent="0.25">
      <c r="A30" s="2" t="s">
        <v>93</v>
      </c>
    </row>
    <row r="31" spans="1:1" x14ac:dyDescent="0.25">
      <c r="A31" s="2" t="s">
        <v>96</v>
      </c>
    </row>
    <row r="32" spans="1:1" x14ac:dyDescent="0.25">
      <c r="A32" s="2" t="s">
        <v>99</v>
      </c>
    </row>
    <row r="33" spans="1:1" x14ac:dyDescent="0.25">
      <c r="A33" s="2" t="s">
        <v>102</v>
      </c>
    </row>
    <row r="34" spans="1:1" x14ac:dyDescent="0.25">
      <c r="A34" s="2" t="s">
        <v>105</v>
      </c>
    </row>
    <row r="35" spans="1:1" x14ac:dyDescent="0.25">
      <c r="A35" s="2" t="s">
        <v>108</v>
      </c>
    </row>
    <row r="36" spans="1:1" x14ac:dyDescent="0.25">
      <c r="A36" s="2" t="s">
        <v>111</v>
      </c>
    </row>
    <row r="37" spans="1:1" x14ac:dyDescent="0.25">
      <c r="A37" s="2" t="s">
        <v>114</v>
      </c>
    </row>
    <row r="38" spans="1:1" x14ac:dyDescent="0.25">
      <c r="A38" s="2" t="s">
        <v>117</v>
      </c>
    </row>
    <row r="39" spans="1:1" x14ac:dyDescent="0.25">
      <c r="A39" s="2" t="s">
        <v>120</v>
      </c>
    </row>
    <row r="40" spans="1:1" x14ac:dyDescent="0.25">
      <c r="A40" s="2" t="s">
        <v>123</v>
      </c>
    </row>
    <row r="41" spans="1:1" x14ac:dyDescent="0.25">
      <c r="A41" s="2" t="s">
        <v>126</v>
      </c>
    </row>
    <row r="42" spans="1:1" x14ac:dyDescent="0.25">
      <c r="A42" s="2" t="s">
        <v>129</v>
      </c>
    </row>
    <row r="43" spans="1:1" x14ac:dyDescent="0.25">
      <c r="A43" s="2" t="s">
        <v>132</v>
      </c>
    </row>
    <row r="44" spans="1:1" x14ac:dyDescent="0.25">
      <c r="A44" s="2" t="s">
        <v>135</v>
      </c>
    </row>
    <row r="45" spans="1:1" x14ac:dyDescent="0.25">
      <c r="A45" s="2" t="s">
        <v>138</v>
      </c>
    </row>
    <row r="46" spans="1:1" x14ac:dyDescent="0.25">
      <c r="A46" s="2" t="s">
        <v>141</v>
      </c>
    </row>
    <row r="47" spans="1:1" x14ac:dyDescent="0.25">
      <c r="A47" s="2" t="s">
        <v>144</v>
      </c>
    </row>
    <row r="48" spans="1:1" x14ac:dyDescent="0.25">
      <c r="A48" s="2" t="s">
        <v>147</v>
      </c>
    </row>
    <row r="49" spans="1:1" x14ac:dyDescent="0.25">
      <c r="A49" s="2" t="s">
        <v>150</v>
      </c>
    </row>
    <row r="50" spans="1:1" x14ac:dyDescent="0.25">
      <c r="A50" s="2" t="s">
        <v>153</v>
      </c>
    </row>
    <row r="51" spans="1:1" x14ac:dyDescent="0.25">
      <c r="A51" s="2" t="s">
        <v>156</v>
      </c>
    </row>
    <row r="52" spans="1:1" x14ac:dyDescent="0.25">
      <c r="A52" s="2" t="s">
        <v>159</v>
      </c>
    </row>
    <row r="53" spans="1:1" x14ac:dyDescent="0.25">
      <c r="A53" s="2" t="s">
        <v>162</v>
      </c>
    </row>
    <row r="54" spans="1:1" x14ac:dyDescent="0.25">
      <c r="A54" s="2" t="s">
        <v>165</v>
      </c>
    </row>
    <row r="55" spans="1:1" x14ac:dyDescent="0.25">
      <c r="A55" s="2" t="s">
        <v>168</v>
      </c>
    </row>
    <row r="56" spans="1:1" x14ac:dyDescent="0.25">
      <c r="A56" s="2" t="s">
        <v>171</v>
      </c>
    </row>
    <row r="57" spans="1:1" x14ac:dyDescent="0.25">
      <c r="A57" s="2" t="s">
        <v>174</v>
      </c>
    </row>
    <row r="58" spans="1:1" x14ac:dyDescent="0.25">
      <c r="A58" s="2" t="s">
        <v>177</v>
      </c>
    </row>
    <row r="59" spans="1:1" x14ac:dyDescent="0.25">
      <c r="A59" s="2" t="s">
        <v>180</v>
      </c>
    </row>
    <row r="60" spans="1:1" x14ac:dyDescent="0.25">
      <c r="A60" s="2" t="s">
        <v>183</v>
      </c>
    </row>
    <row r="61" spans="1:1" x14ac:dyDescent="0.25">
      <c r="A61" s="2" t="s">
        <v>186</v>
      </c>
    </row>
    <row r="62" spans="1:1" x14ac:dyDescent="0.25">
      <c r="A62" s="2" t="s">
        <v>189</v>
      </c>
    </row>
    <row r="63" spans="1:1" x14ac:dyDescent="0.25">
      <c r="A63" s="2" t="s">
        <v>192</v>
      </c>
    </row>
    <row r="64" spans="1:1" x14ac:dyDescent="0.25">
      <c r="A64" s="2" t="s">
        <v>195</v>
      </c>
    </row>
    <row r="65" spans="1:1" x14ac:dyDescent="0.25">
      <c r="A65" s="2" t="s">
        <v>198</v>
      </c>
    </row>
    <row r="66" spans="1:1" x14ac:dyDescent="0.25">
      <c r="A66" s="2" t="s">
        <v>201</v>
      </c>
    </row>
    <row r="67" spans="1:1" x14ac:dyDescent="0.25">
      <c r="A67" s="2" t="s">
        <v>204</v>
      </c>
    </row>
    <row r="68" spans="1:1" x14ac:dyDescent="0.25">
      <c r="A68" s="2" t="s">
        <v>207</v>
      </c>
    </row>
    <row r="69" spans="1:1" x14ac:dyDescent="0.25">
      <c r="A69" s="2" t="s">
        <v>210</v>
      </c>
    </row>
    <row r="70" spans="1:1" x14ac:dyDescent="0.25">
      <c r="A70" s="2" t="s">
        <v>213</v>
      </c>
    </row>
    <row r="71" spans="1:1" x14ac:dyDescent="0.25">
      <c r="A71" s="2" t="s">
        <v>216</v>
      </c>
    </row>
    <row r="72" spans="1:1" x14ac:dyDescent="0.25">
      <c r="A72" s="2" t="s">
        <v>219</v>
      </c>
    </row>
    <row r="73" spans="1:1" x14ac:dyDescent="0.25">
      <c r="A73" s="2" t="s">
        <v>222</v>
      </c>
    </row>
    <row r="74" spans="1:1" x14ac:dyDescent="0.25">
      <c r="A74" s="2" t="s">
        <v>225</v>
      </c>
    </row>
    <row r="75" spans="1:1" x14ac:dyDescent="0.25">
      <c r="A75" s="2" t="s">
        <v>228</v>
      </c>
    </row>
    <row r="76" spans="1:1" x14ac:dyDescent="0.25">
      <c r="A76" s="2" t="s">
        <v>231</v>
      </c>
    </row>
    <row r="77" spans="1:1" x14ac:dyDescent="0.25">
      <c r="A77" s="2" t="s">
        <v>234</v>
      </c>
    </row>
    <row r="78" spans="1:1" x14ac:dyDescent="0.25">
      <c r="A78" s="2" t="s">
        <v>237</v>
      </c>
    </row>
    <row r="79" spans="1:1" x14ac:dyDescent="0.25">
      <c r="A79" s="2" t="s">
        <v>240</v>
      </c>
    </row>
    <row r="80" spans="1:1" x14ac:dyDescent="0.25">
      <c r="A80" s="2" t="s">
        <v>243</v>
      </c>
    </row>
    <row r="81" spans="1:1" x14ac:dyDescent="0.25">
      <c r="A81" s="2" t="s">
        <v>246</v>
      </c>
    </row>
    <row r="82" spans="1:1" x14ac:dyDescent="0.25">
      <c r="A82" s="2" t="s">
        <v>249</v>
      </c>
    </row>
    <row r="83" spans="1:1" x14ac:dyDescent="0.25">
      <c r="A83" s="2" t="s">
        <v>252</v>
      </c>
    </row>
    <row r="84" spans="1:1" x14ac:dyDescent="0.25">
      <c r="A84" s="2" t="s">
        <v>255</v>
      </c>
    </row>
    <row r="85" spans="1:1" x14ac:dyDescent="0.25">
      <c r="A85" s="2" t="s">
        <v>258</v>
      </c>
    </row>
    <row r="86" spans="1:1" x14ac:dyDescent="0.25">
      <c r="A86" s="2" t="s">
        <v>261</v>
      </c>
    </row>
    <row r="87" spans="1:1" x14ac:dyDescent="0.25">
      <c r="A87" s="2" t="s">
        <v>264</v>
      </c>
    </row>
    <row r="88" spans="1:1" x14ac:dyDescent="0.25">
      <c r="A88" s="2" t="s">
        <v>267</v>
      </c>
    </row>
    <row r="89" spans="1:1" x14ac:dyDescent="0.25">
      <c r="A89" s="2" t="s">
        <v>270</v>
      </c>
    </row>
    <row r="90" spans="1:1" x14ac:dyDescent="0.25">
      <c r="A90" s="2" t="s">
        <v>273</v>
      </c>
    </row>
    <row r="91" spans="1:1" x14ac:dyDescent="0.25">
      <c r="A91" s="2" t="s">
        <v>276</v>
      </c>
    </row>
    <row r="92" spans="1:1" x14ac:dyDescent="0.25">
      <c r="A92" s="2" t="s">
        <v>279</v>
      </c>
    </row>
    <row r="93" spans="1:1" x14ac:dyDescent="0.25">
      <c r="A93" s="2" t="s">
        <v>282</v>
      </c>
    </row>
    <row r="94" spans="1:1" x14ac:dyDescent="0.25">
      <c r="A94" s="2" t="s">
        <v>285</v>
      </c>
    </row>
    <row r="95" spans="1:1" x14ac:dyDescent="0.25">
      <c r="A95" s="2" t="s">
        <v>288</v>
      </c>
    </row>
    <row r="96" spans="1:1" x14ac:dyDescent="0.25">
      <c r="A96" s="2" t="s">
        <v>291</v>
      </c>
    </row>
    <row r="97" spans="1:1" x14ac:dyDescent="0.25">
      <c r="A97" s="2" t="s">
        <v>294</v>
      </c>
    </row>
    <row r="98" spans="1:1" x14ac:dyDescent="0.25">
      <c r="A98" s="2" t="s">
        <v>297</v>
      </c>
    </row>
    <row r="99" spans="1:1" x14ac:dyDescent="0.25">
      <c r="A99" s="2" t="s">
        <v>300</v>
      </c>
    </row>
    <row r="100" spans="1:1" x14ac:dyDescent="0.25">
      <c r="A100" s="2" t="s">
        <v>303</v>
      </c>
    </row>
    <row r="101" spans="1:1" x14ac:dyDescent="0.25">
      <c r="A101" s="2" t="s">
        <v>306</v>
      </c>
    </row>
    <row r="102" spans="1:1" x14ac:dyDescent="0.25">
      <c r="A102" s="2" t="s">
        <v>309</v>
      </c>
    </row>
    <row r="103" spans="1:1" x14ac:dyDescent="0.25">
      <c r="A103" s="2" t="s">
        <v>312</v>
      </c>
    </row>
    <row r="104" spans="1:1" x14ac:dyDescent="0.25">
      <c r="A104" s="2" t="s">
        <v>315</v>
      </c>
    </row>
    <row r="105" spans="1:1" x14ac:dyDescent="0.25">
      <c r="A105" s="2" t="s">
        <v>318</v>
      </c>
    </row>
    <row r="106" spans="1:1" x14ac:dyDescent="0.25">
      <c r="A106" s="2" t="s">
        <v>321</v>
      </c>
    </row>
    <row r="107" spans="1:1" x14ac:dyDescent="0.25">
      <c r="A107" s="2" t="s">
        <v>324</v>
      </c>
    </row>
    <row r="108" spans="1:1" x14ac:dyDescent="0.25">
      <c r="A108" s="2" t="s">
        <v>327</v>
      </c>
    </row>
    <row r="109" spans="1:1" x14ac:dyDescent="0.25">
      <c r="A109" s="2" t="s">
        <v>330</v>
      </c>
    </row>
    <row r="110" spans="1:1" x14ac:dyDescent="0.25">
      <c r="A110" s="2" t="s">
        <v>333</v>
      </c>
    </row>
    <row r="111" spans="1:1" x14ac:dyDescent="0.25">
      <c r="A111" s="2" t="s">
        <v>336</v>
      </c>
    </row>
    <row r="112" spans="1:1" x14ac:dyDescent="0.25">
      <c r="A112" s="2" t="s">
        <v>339</v>
      </c>
    </row>
    <row r="113" spans="1:1" x14ac:dyDescent="0.25">
      <c r="A113" s="2" t="s">
        <v>342</v>
      </c>
    </row>
    <row r="114" spans="1:1" x14ac:dyDescent="0.25">
      <c r="A114" s="2" t="s">
        <v>345</v>
      </c>
    </row>
    <row r="115" spans="1:1" x14ac:dyDescent="0.25">
      <c r="A115" s="2" t="s">
        <v>348</v>
      </c>
    </row>
    <row r="116" spans="1:1" x14ac:dyDescent="0.25">
      <c r="A116" s="2" t="s">
        <v>351</v>
      </c>
    </row>
    <row r="117" spans="1:1" x14ac:dyDescent="0.25">
      <c r="A117" s="2" t="s">
        <v>354</v>
      </c>
    </row>
    <row r="118" spans="1:1" x14ac:dyDescent="0.25">
      <c r="A118" s="2" t="s">
        <v>357</v>
      </c>
    </row>
    <row r="119" spans="1:1" x14ac:dyDescent="0.25">
      <c r="A119" s="2" t="s">
        <v>360</v>
      </c>
    </row>
    <row r="120" spans="1:1" x14ac:dyDescent="0.25">
      <c r="A120" s="2" t="s">
        <v>363</v>
      </c>
    </row>
    <row r="121" spans="1:1" x14ac:dyDescent="0.25">
      <c r="A121" s="2" t="s">
        <v>366</v>
      </c>
    </row>
    <row r="122" spans="1:1" x14ac:dyDescent="0.25">
      <c r="A122" s="2" t="s">
        <v>369</v>
      </c>
    </row>
    <row r="123" spans="1:1" x14ac:dyDescent="0.25">
      <c r="A123" s="2" t="s">
        <v>372</v>
      </c>
    </row>
    <row r="124" spans="1:1" x14ac:dyDescent="0.25">
      <c r="A124" s="2" t="s">
        <v>375</v>
      </c>
    </row>
    <row r="125" spans="1:1" x14ac:dyDescent="0.25">
      <c r="A125" s="2" t="s">
        <v>378</v>
      </c>
    </row>
    <row r="126" spans="1:1" x14ac:dyDescent="0.25">
      <c r="A126" s="2" t="s">
        <v>381</v>
      </c>
    </row>
    <row r="127" spans="1:1" x14ac:dyDescent="0.25">
      <c r="A127" s="2" t="s">
        <v>384</v>
      </c>
    </row>
    <row r="128" spans="1:1" x14ac:dyDescent="0.25">
      <c r="A128" s="2" t="s">
        <v>387</v>
      </c>
    </row>
    <row r="129" spans="1:1" x14ac:dyDescent="0.25">
      <c r="A129" s="2" t="s">
        <v>390</v>
      </c>
    </row>
    <row r="130" spans="1:1" x14ac:dyDescent="0.25">
      <c r="A130" s="2" t="s">
        <v>393</v>
      </c>
    </row>
    <row r="131" spans="1:1" x14ac:dyDescent="0.25">
      <c r="A131" s="2" t="s">
        <v>396</v>
      </c>
    </row>
    <row r="132" spans="1:1" x14ac:dyDescent="0.25">
      <c r="A132" s="2" t="s">
        <v>399</v>
      </c>
    </row>
    <row r="133" spans="1:1" x14ac:dyDescent="0.25">
      <c r="A133" s="2" t="s">
        <v>402</v>
      </c>
    </row>
    <row r="134" spans="1:1" x14ac:dyDescent="0.25">
      <c r="A134" s="2" t="s">
        <v>405</v>
      </c>
    </row>
    <row r="135" spans="1:1" x14ac:dyDescent="0.25">
      <c r="A135" s="2" t="s">
        <v>408</v>
      </c>
    </row>
    <row r="136" spans="1:1" x14ac:dyDescent="0.25">
      <c r="A136" s="2" t="s">
        <v>411</v>
      </c>
    </row>
    <row r="137" spans="1:1" x14ac:dyDescent="0.25">
      <c r="A137" s="2" t="s">
        <v>414</v>
      </c>
    </row>
    <row r="138" spans="1:1" x14ac:dyDescent="0.25">
      <c r="A138" s="2" t="s">
        <v>417</v>
      </c>
    </row>
    <row r="139" spans="1:1" x14ac:dyDescent="0.25">
      <c r="A139" s="2" t="s">
        <v>420</v>
      </c>
    </row>
    <row r="140" spans="1:1" x14ac:dyDescent="0.25">
      <c r="A140" s="2" t="s">
        <v>423</v>
      </c>
    </row>
    <row r="141" spans="1:1" x14ac:dyDescent="0.25">
      <c r="A141" s="2" t="s">
        <v>426</v>
      </c>
    </row>
    <row r="142" spans="1:1" x14ac:dyDescent="0.25">
      <c r="A142" s="2" t="s">
        <v>429</v>
      </c>
    </row>
    <row r="143" spans="1:1" x14ac:dyDescent="0.25">
      <c r="A143" s="2" t="s">
        <v>432</v>
      </c>
    </row>
    <row r="144" spans="1:1" x14ac:dyDescent="0.25">
      <c r="A144" s="2" t="s">
        <v>435</v>
      </c>
    </row>
    <row r="145" spans="1:1" x14ac:dyDescent="0.25">
      <c r="A145" s="2" t="s">
        <v>438</v>
      </c>
    </row>
    <row r="146" spans="1:1" x14ac:dyDescent="0.25">
      <c r="A146" s="2" t="s">
        <v>441</v>
      </c>
    </row>
    <row r="147" spans="1:1" x14ac:dyDescent="0.25">
      <c r="A147" s="2" t="s">
        <v>444</v>
      </c>
    </row>
    <row r="148" spans="1:1" x14ac:dyDescent="0.25">
      <c r="A148" s="2" t="s">
        <v>447</v>
      </c>
    </row>
    <row r="149" spans="1:1" x14ac:dyDescent="0.25">
      <c r="A149" s="2" t="s">
        <v>450</v>
      </c>
    </row>
    <row r="150" spans="1:1" x14ac:dyDescent="0.25">
      <c r="A150" s="2" t="s">
        <v>453</v>
      </c>
    </row>
    <row r="151" spans="1:1" x14ac:dyDescent="0.25">
      <c r="A151" s="2" t="s">
        <v>456</v>
      </c>
    </row>
    <row r="152" spans="1:1" x14ac:dyDescent="0.25">
      <c r="A152" s="2" t="s">
        <v>459</v>
      </c>
    </row>
    <row r="153" spans="1:1" x14ac:dyDescent="0.25">
      <c r="A153" s="2" t="s">
        <v>462</v>
      </c>
    </row>
    <row r="154" spans="1:1" x14ac:dyDescent="0.25">
      <c r="A154" s="2" t="s">
        <v>465</v>
      </c>
    </row>
    <row r="155" spans="1:1" x14ac:dyDescent="0.25">
      <c r="A155" s="2" t="s">
        <v>468</v>
      </c>
    </row>
    <row r="156" spans="1:1" x14ac:dyDescent="0.25">
      <c r="A156" s="2" t="s">
        <v>471</v>
      </c>
    </row>
    <row r="157" spans="1:1" x14ac:dyDescent="0.25">
      <c r="A157" s="2" t="s">
        <v>474</v>
      </c>
    </row>
    <row r="158" spans="1:1" x14ac:dyDescent="0.25">
      <c r="A158" s="2" t="s">
        <v>477</v>
      </c>
    </row>
    <row r="159" spans="1:1" x14ac:dyDescent="0.25">
      <c r="A159" s="2" t="s">
        <v>480</v>
      </c>
    </row>
    <row r="160" spans="1:1" x14ac:dyDescent="0.25">
      <c r="A160" s="2" t="s">
        <v>483</v>
      </c>
    </row>
    <row r="161" spans="1:1" x14ac:dyDescent="0.25">
      <c r="A161" s="2" t="s">
        <v>486</v>
      </c>
    </row>
    <row r="162" spans="1:1" x14ac:dyDescent="0.25">
      <c r="A162" s="2" t="s">
        <v>489</v>
      </c>
    </row>
    <row r="163" spans="1:1" x14ac:dyDescent="0.25">
      <c r="A163" s="2" t="s">
        <v>492</v>
      </c>
    </row>
    <row r="164" spans="1:1" x14ac:dyDescent="0.25">
      <c r="A164" s="2" t="s">
        <v>495</v>
      </c>
    </row>
    <row r="165" spans="1:1" x14ac:dyDescent="0.25">
      <c r="A165" s="2" t="s">
        <v>498</v>
      </c>
    </row>
    <row r="166" spans="1:1" x14ac:dyDescent="0.25">
      <c r="A166" s="2" t="s">
        <v>501</v>
      </c>
    </row>
    <row r="167" spans="1:1" x14ac:dyDescent="0.25">
      <c r="A167" s="2" t="s">
        <v>504</v>
      </c>
    </row>
    <row r="168" spans="1:1" x14ac:dyDescent="0.25">
      <c r="A168" s="2" t="s">
        <v>507</v>
      </c>
    </row>
    <row r="169" spans="1:1" x14ac:dyDescent="0.25">
      <c r="A169" s="2" t="s">
        <v>510</v>
      </c>
    </row>
    <row r="170" spans="1:1" x14ac:dyDescent="0.25">
      <c r="A170" s="2" t="s">
        <v>513</v>
      </c>
    </row>
    <row r="171" spans="1:1" x14ac:dyDescent="0.25">
      <c r="A171" s="2" t="s">
        <v>516</v>
      </c>
    </row>
    <row r="172" spans="1:1" x14ac:dyDescent="0.25">
      <c r="A172" s="2" t="s">
        <v>519</v>
      </c>
    </row>
    <row r="173" spans="1:1" x14ac:dyDescent="0.25">
      <c r="A173" s="2" t="s">
        <v>522</v>
      </c>
    </row>
    <row r="174" spans="1:1" x14ac:dyDescent="0.25">
      <c r="A174" s="2" t="s">
        <v>525</v>
      </c>
    </row>
    <row r="175" spans="1:1" x14ac:dyDescent="0.25">
      <c r="A175" s="2" t="s">
        <v>528</v>
      </c>
    </row>
    <row r="176" spans="1:1" x14ac:dyDescent="0.25">
      <c r="A176" s="2" t="s">
        <v>531</v>
      </c>
    </row>
    <row r="177" spans="1:1" x14ac:dyDescent="0.25">
      <c r="A177" s="2" t="s">
        <v>534</v>
      </c>
    </row>
    <row r="178" spans="1:1" x14ac:dyDescent="0.25">
      <c r="A178" s="2" t="s">
        <v>537</v>
      </c>
    </row>
    <row r="179" spans="1:1" x14ac:dyDescent="0.25">
      <c r="A179" s="2" t="s">
        <v>540</v>
      </c>
    </row>
    <row r="180" spans="1:1" x14ac:dyDescent="0.25">
      <c r="A180" s="2" t="s">
        <v>543</v>
      </c>
    </row>
    <row r="181" spans="1:1" x14ac:dyDescent="0.25">
      <c r="A181" s="2" t="s">
        <v>546</v>
      </c>
    </row>
    <row r="182" spans="1:1" x14ac:dyDescent="0.25">
      <c r="A182" s="2" t="s">
        <v>549</v>
      </c>
    </row>
    <row r="183" spans="1:1" x14ac:dyDescent="0.25">
      <c r="A183" s="2" t="s">
        <v>552</v>
      </c>
    </row>
    <row r="184" spans="1:1" x14ac:dyDescent="0.25">
      <c r="A184" s="2" t="s">
        <v>555</v>
      </c>
    </row>
    <row r="185" spans="1:1" x14ac:dyDescent="0.25">
      <c r="A185" s="2" t="s">
        <v>558</v>
      </c>
    </row>
    <row r="186" spans="1:1" x14ac:dyDescent="0.25">
      <c r="A186" s="2" t="s">
        <v>561</v>
      </c>
    </row>
    <row r="187" spans="1:1" x14ac:dyDescent="0.25">
      <c r="A187" s="2" t="s">
        <v>564</v>
      </c>
    </row>
    <row r="188" spans="1:1" x14ac:dyDescent="0.25">
      <c r="A188" s="2" t="s">
        <v>567</v>
      </c>
    </row>
    <row r="189" spans="1:1" x14ac:dyDescent="0.25">
      <c r="A189" s="2" t="s">
        <v>570</v>
      </c>
    </row>
    <row r="190" spans="1:1" x14ac:dyDescent="0.25">
      <c r="A190" s="2" t="s">
        <v>573</v>
      </c>
    </row>
    <row r="191" spans="1:1" x14ac:dyDescent="0.25">
      <c r="A191" s="2" t="s">
        <v>576</v>
      </c>
    </row>
    <row r="192" spans="1:1" x14ac:dyDescent="0.25">
      <c r="A192" s="2" t="s">
        <v>579</v>
      </c>
    </row>
    <row r="193" spans="1:1" x14ac:dyDescent="0.25">
      <c r="A193" s="2" t="s">
        <v>582</v>
      </c>
    </row>
    <row r="194" spans="1:1" x14ac:dyDescent="0.25">
      <c r="A194" s="2" t="s">
        <v>585</v>
      </c>
    </row>
    <row r="195" spans="1:1" x14ac:dyDescent="0.25">
      <c r="A195" s="2" t="s">
        <v>588</v>
      </c>
    </row>
    <row r="196" spans="1:1" x14ac:dyDescent="0.25">
      <c r="A196" s="2" t="s">
        <v>591</v>
      </c>
    </row>
    <row r="197" spans="1:1" x14ac:dyDescent="0.25">
      <c r="A197" s="2" t="s">
        <v>594</v>
      </c>
    </row>
    <row r="198" spans="1:1" x14ac:dyDescent="0.25">
      <c r="A198" s="2" t="s">
        <v>597</v>
      </c>
    </row>
    <row r="199" spans="1:1" x14ac:dyDescent="0.25">
      <c r="A199" s="2" t="s">
        <v>600</v>
      </c>
    </row>
    <row r="200" spans="1:1" x14ac:dyDescent="0.25">
      <c r="A200" s="2" t="s">
        <v>603</v>
      </c>
    </row>
    <row r="201" spans="1:1" x14ac:dyDescent="0.25">
      <c r="A201" s="2" t="s">
        <v>606</v>
      </c>
    </row>
    <row r="202" spans="1:1" x14ac:dyDescent="0.25">
      <c r="A202" s="2" t="s">
        <v>609</v>
      </c>
    </row>
    <row r="203" spans="1:1" x14ac:dyDescent="0.25">
      <c r="A203" s="2" t="s">
        <v>612</v>
      </c>
    </row>
    <row r="204" spans="1:1" x14ac:dyDescent="0.25">
      <c r="A204" s="2" t="s">
        <v>615</v>
      </c>
    </row>
    <row r="205" spans="1:1" x14ac:dyDescent="0.25">
      <c r="A205" s="2" t="s">
        <v>618</v>
      </c>
    </row>
    <row r="206" spans="1:1" x14ac:dyDescent="0.25">
      <c r="A206" s="2" t="s">
        <v>621</v>
      </c>
    </row>
    <row r="207" spans="1:1" x14ac:dyDescent="0.25">
      <c r="A207" s="2" t="s">
        <v>624</v>
      </c>
    </row>
    <row r="208" spans="1:1" x14ac:dyDescent="0.25">
      <c r="A208" s="2" t="s">
        <v>627</v>
      </c>
    </row>
    <row r="209" spans="1:1" x14ac:dyDescent="0.25">
      <c r="A209" s="2" t="s">
        <v>630</v>
      </c>
    </row>
    <row r="210" spans="1:1" x14ac:dyDescent="0.25">
      <c r="A210" s="2" t="s">
        <v>633</v>
      </c>
    </row>
    <row r="211" spans="1:1" x14ac:dyDescent="0.25">
      <c r="A211" s="2" t="s">
        <v>636</v>
      </c>
    </row>
    <row r="212" spans="1:1" x14ac:dyDescent="0.25">
      <c r="A212" s="2" t="s">
        <v>639</v>
      </c>
    </row>
    <row r="213" spans="1:1" x14ac:dyDescent="0.25">
      <c r="A213" s="2" t="s">
        <v>642</v>
      </c>
    </row>
    <row r="214" spans="1:1" x14ac:dyDescent="0.25">
      <c r="A214" s="2" t="s">
        <v>645</v>
      </c>
    </row>
    <row r="215" spans="1:1" x14ac:dyDescent="0.25">
      <c r="A215" s="2" t="s">
        <v>648</v>
      </c>
    </row>
    <row r="216" spans="1:1" x14ac:dyDescent="0.25">
      <c r="A216" s="2" t="s">
        <v>651</v>
      </c>
    </row>
    <row r="217" spans="1:1" x14ac:dyDescent="0.25">
      <c r="A217" s="2" t="s">
        <v>654</v>
      </c>
    </row>
    <row r="218" spans="1:1" x14ac:dyDescent="0.25">
      <c r="A218" s="2" t="s">
        <v>657</v>
      </c>
    </row>
    <row r="219" spans="1:1" x14ac:dyDescent="0.25">
      <c r="A219" s="2" t="s">
        <v>660</v>
      </c>
    </row>
    <row r="220" spans="1:1" x14ac:dyDescent="0.25">
      <c r="A220" s="2" t="s">
        <v>663</v>
      </c>
    </row>
    <row r="221" spans="1:1" x14ac:dyDescent="0.25">
      <c r="A221" s="2" t="s">
        <v>666</v>
      </c>
    </row>
    <row r="222" spans="1:1" x14ac:dyDescent="0.25">
      <c r="A222" s="2" t="s">
        <v>669</v>
      </c>
    </row>
    <row r="223" spans="1:1" x14ac:dyDescent="0.25">
      <c r="A223" s="2" t="s">
        <v>672</v>
      </c>
    </row>
    <row r="224" spans="1:1" x14ac:dyDescent="0.25">
      <c r="A224" s="2" t="s">
        <v>675</v>
      </c>
    </row>
    <row r="225" spans="1:1" x14ac:dyDescent="0.25">
      <c r="A225" s="2" t="s">
        <v>678</v>
      </c>
    </row>
    <row r="226" spans="1:1" x14ac:dyDescent="0.25">
      <c r="A226" s="2" t="s">
        <v>681</v>
      </c>
    </row>
    <row r="227" spans="1:1" x14ac:dyDescent="0.25">
      <c r="A227" s="2" t="s">
        <v>684</v>
      </c>
    </row>
    <row r="228" spans="1:1" x14ac:dyDescent="0.25">
      <c r="A228" s="2" t="s">
        <v>687</v>
      </c>
    </row>
    <row r="229" spans="1:1" x14ac:dyDescent="0.25">
      <c r="A229" s="2" t="s">
        <v>690</v>
      </c>
    </row>
    <row r="230" spans="1:1" x14ac:dyDescent="0.25">
      <c r="A230" s="2" t="s">
        <v>693</v>
      </c>
    </row>
    <row r="231" spans="1:1" x14ac:dyDescent="0.25">
      <c r="A231" s="2" t="s">
        <v>696</v>
      </c>
    </row>
    <row r="232" spans="1:1" x14ac:dyDescent="0.25">
      <c r="A232" s="2" t="s">
        <v>699</v>
      </c>
    </row>
    <row r="233" spans="1:1" x14ac:dyDescent="0.25">
      <c r="A233" s="2" t="s">
        <v>702</v>
      </c>
    </row>
    <row r="234" spans="1:1" x14ac:dyDescent="0.25">
      <c r="A234" s="2" t="s">
        <v>705</v>
      </c>
    </row>
    <row r="235" spans="1:1" x14ac:dyDescent="0.25">
      <c r="A235" s="2" t="s">
        <v>708</v>
      </c>
    </row>
    <row r="236" spans="1:1" x14ac:dyDescent="0.25">
      <c r="A236" s="2" t="s">
        <v>711</v>
      </c>
    </row>
    <row r="237" spans="1:1" x14ac:dyDescent="0.25">
      <c r="A237" s="2" t="s">
        <v>714</v>
      </c>
    </row>
    <row r="238" spans="1:1" x14ac:dyDescent="0.25">
      <c r="A238" s="2" t="s">
        <v>717</v>
      </c>
    </row>
    <row r="239" spans="1:1" x14ac:dyDescent="0.25">
      <c r="A239" s="2" t="s">
        <v>720</v>
      </c>
    </row>
    <row r="240" spans="1:1" x14ac:dyDescent="0.25">
      <c r="A240" s="2" t="s">
        <v>723</v>
      </c>
    </row>
    <row r="241" spans="1:1" x14ac:dyDescent="0.25">
      <c r="A241" s="2" t="s">
        <v>726</v>
      </c>
    </row>
    <row r="242" spans="1:1" x14ac:dyDescent="0.25">
      <c r="A242" s="2" t="s">
        <v>729</v>
      </c>
    </row>
    <row r="243" spans="1:1" x14ac:dyDescent="0.25">
      <c r="A243" s="2" t="s">
        <v>732</v>
      </c>
    </row>
    <row r="244" spans="1:1" x14ac:dyDescent="0.25">
      <c r="A244" s="2" t="s">
        <v>735</v>
      </c>
    </row>
    <row r="245" spans="1:1" x14ac:dyDescent="0.25">
      <c r="A245" s="2" t="s">
        <v>738</v>
      </c>
    </row>
    <row r="246" spans="1:1" x14ac:dyDescent="0.25">
      <c r="A246" s="2" t="s">
        <v>741</v>
      </c>
    </row>
    <row r="247" spans="1:1" x14ac:dyDescent="0.25">
      <c r="A247" s="2" t="s">
        <v>744</v>
      </c>
    </row>
    <row r="248" spans="1:1" x14ac:dyDescent="0.25">
      <c r="A248" s="2" t="s">
        <v>747</v>
      </c>
    </row>
    <row r="249" spans="1:1" x14ac:dyDescent="0.25">
      <c r="A249" s="2" t="s">
        <v>750</v>
      </c>
    </row>
    <row r="250" spans="1:1" x14ac:dyDescent="0.25">
      <c r="A250" s="2" t="s">
        <v>753</v>
      </c>
    </row>
    <row r="251" spans="1:1" x14ac:dyDescent="0.25">
      <c r="A251" s="2" t="s">
        <v>756</v>
      </c>
    </row>
    <row r="252" spans="1:1" x14ac:dyDescent="0.25">
      <c r="A252" s="2" t="s">
        <v>759</v>
      </c>
    </row>
    <row r="253" spans="1:1" x14ac:dyDescent="0.25">
      <c r="A253" s="2" t="s">
        <v>762</v>
      </c>
    </row>
    <row r="254" spans="1:1" x14ac:dyDescent="0.25">
      <c r="A254" s="2" t="s">
        <v>765</v>
      </c>
    </row>
    <row r="255" spans="1:1" x14ac:dyDescent="0.25">
      <c r="A255" s="2" t="s">
        <v>768</v>
      </c>
    </row>
    <row r="256" spans="1:1" x14ac:dyDescent="0.25">
      <c r="A256" s="2" t="s">
        <v>771</v>
      </c>
    </row>
    <row r="257" spans="1:1" x14ac:dyDescent="0.25">
      <c r="A257" s="2" t="s">
        <v>774</v>
      </c>
    </row>
    <row r="258" spans="1:1" x14ac:dyDescent="0.25">
      <c r="A258" s="2" t="s">
        <v>777</v>
      </c>
    </row>
    <row r="259" spans="1:1" x14ac:dyDescent="0.25">
      <c r="A259" s="2" t="s">
        <v>780</v>
      </c>
    </row>
    <row r="260" spans="1:1" x14ac:dyDescent="0.25">
      <c r="A260" s="2" t="s">
        <v>783</v>
      </c>
    </row>
    <row r="261" spans="1:1" x14ac:dyDescent="0.25">
      <c r="A261" s="2" t="s">
        <v>786</v>
      </c>
    </row>
    <row r="262" spans="1:1" x14ac:dyDescent="0.25">
      <c r="A262" s="2" t="s">
        <v>789</v>
      </c>
    </row>
    <row r="263" spans="1:1" x14ac:dyDescent="0.25">
      <c r="A263" s="2" t="s">
        <v>792</v>
      </c>
    </row>
    <row r="264" spans="1:1" x14ac:dyDescent="0.25">
      <c r="A264" s="2" t="s">
        <v>795</v>
      </c>
    </row>
    <row r="265" spans="1:1" x14ac:dyDescent="0.25">
      <c r="A265" s="2" t="s">
        <v>798</v>
      </c>
    </row>
    <row r="266" spans="1:1" x14ac:dyDescent="0.25">
      <c r="A266" s="2" t="s">
        <v>801</v>
      </c>
    </row>
    <row r="267" spans="1:1" x14ac:dyDescent="0.25">
      <c r="A267" s="2" t="s">
        <v>804</v>
      </c>
    </row>
    <row r="268" spans="1:1" x14ac:dyDescent="0.25">
      <c r="A268" s="2" t="s">
        <v>807</v>
      </c>
    </row>
    <row r="269" spans="1:1" x14ac:dyDescent="0.25">
      <c r="A269" s="2" t="s">
        <v>810</v>
      </c>
    </row>
    <row r="270" spans="1:1" x14ac:dyDescent="0.25">
      <c r="A270" s="2" t="s">
        <v>813</v>
      </c>
    </row>
    <row r="271" spans="1:1" x14ac:dyDescent="0.25">
      <c r="A271" s="2" t="s">
        <v>816</v>
      </c>
    </row>
    <row r="272" spans="1:1" x14ac:dyDescent="0.25">
      <c r="A272" s="2" t="s">
        <v>819</v>
      </c>
    </row>
    <row r="273" spans="1:1" x14ac:dyDescent="0.25">
      <c r="A273" s="2" t="s">
        <v>822</v>
      </c>
    </row>
    <row r="274" spans="1:1" x14ac:dyDescent="0.25">
      <c r="A274" s="2" t="s">
        <v>825</v>
      </c>
    </row>
    <row r="275" spans="1:1" x14ac:dyDescent="0.25">
      <c r="A275" s="2" t="s">
        <v>828</v>
      </c>
    </row>
    <row r="276" spans="1:1" x14ac:dyDescent="0.25">
      <c r="A276" s="2" t="s">
        <v>831</v>
      </c>
    </row>
    <row r="277" spans="1:1" x14ac:dyDescent="0.25">
      <c r="A277" s="2" t="s">
        <v>834</v>
      </c>
    </row>
    <row r="278" spans="1:1" x14ac:dyDescent="0.25">
      <c r="A278" s="2" t="s">
        <v>837</v>
      </c>
    </row>
    <row r="279" spans="1:1" x14ac:dyDescent="0.25">
      <c r="A279" s="2" t="s">
        <v>840</v>
      </c>
    </row>
    <row r="280" spans="1:1" x14ac:dyDescent="0.25">
      <c r="A280" s="2" t="s">
        <v>843</v>
      </c>
    </row>
    <row r="281" spans="1:1" x14ac:dyDescent="0.25">
      <c r="A281" s="2" t="s">
        <v>846</v>
      </c>
    </row>
    <row r="282" spans="1:1" x14ac:dyDescent="0.25">
      <c r="A282" s="2" t="s">
        <v>849</v>
      </c>
    </row>
    <row r="283" spans="1:1" x14ac:dyDescent="0.25">
      <c r="A283" s="2" t="s">
        <v>852</v>
      </c>
    </row>
    <row r="284" spans="1:1" x14ac:dyDescent="0.25">
      <c r="A284" s="2" t="s">
        <v>855</v>
      </c>
    </row>
    <row r="285" spans="1:1" x14ac:dyDescent="0.25">
      <c r="A285" s="2" t="s">
        <v>858</v>
      </c>
    </row>
    <row r="286" spans="1:1" x14ac:dyDescent="0.25">
      <c r="A286" s="2" t="s">
        <v>861</v>
      </c>
    </row>
    <row r="287" spans="1:1" x14ac:dyDescent="0.25">
      <c r="A287" s="2" t="s">
        <v>864</v>
      </c>
    </row>
    <row r="288" spans="1:1" x14ac:dyDescent="0.25">
      <c r="A288" s="2" t="s">
        <v>867</v>
      </c>
    </row>
    <row r="289" spans="1:1" x14ac:dyDescent="0.25">
      <c r="A289" s="2" t="s">
        <v>870</v>
      </c>
    </row>
    <row r="290" spans="1:1" x14ac:dyDescent="0.25">
      <c r="A290" s="2" t="s">
        <v>873</v>
      </c>
    </row>
    <row r="291" spans="1:1" x14ac:dyDescent="0.25">
      <c r="A291" s="2" t="s">
        <v>876</v>
      </c>
    </row>
    <row r="292" spans="1:1" x14ac:dyDescent="0.25">
      <c r="A292" s="2" t="s">
        <v>879</v>
      </c>
    </row>
    <row r="293" spans="1:1" x14ac:dyDescent="0.25">
      <c r="A293" s="2" t="s">
        <v>882</v>
      </c>
    </row>
    <row r="294" spans="1:1" x14ac:dyDescent="0.25">
      <c r="A294" s="2" t="s">
        <v>885</v>
      </c>
    </row>
    <row r="295" spans="1:1" x14ac:dyDescent="0.25">
      <c r="A295" s="2" t="s">
        <v>888</v>
      </c>
    </row>
    <row r="296" spans="1:1" x14ac:dyDescent="0.25">
      <c r="A296" s="2" t="s">
        <v>891</v>
      </c>
    </row>
    <row r="297" spans="1:1" x14ac:dyDescent="0.25">
      <c r="A297" s="2" t="s">
        <v>894</v>
      </c>
    </row>
    <row r="298" spans="1:1" x14ac:dyDescent="0.25">
      <c r="A298" s="2" t="s">
        <v>897</v>
      </c>
    </row>
    <row r="299" spans="1:1" x14ac:dyDescent="0.25">
      <c r="A299" s="2" t="s">
        <v>900</v>
      </c>
    </row>
    <row r="300" spans="1:1" x14ac:dyDescent="0.25">
      <c r="A300" s="2" t="s">
        <v>903</v>
      </c>
    </row>
    <row r="301" spans="1:1" x14ac:dyDescent="0.25">
      <c r="A301" s="2" t="s">
        <v>906</v>
      </c>
    </row>
    <row r="302" spans="1:1" x14ac:dyDescent="0.25">
      <c r="A302" s="2" t="s">
        <v>909</v>
      </c>
    </row>
    <row r="303" spans="1:1" x14ac:dyDescent="0.25">
      <c r="A303" s="2" t="s">
        <v>912</v>
      </c>
    </row>
    <row r="304" spans="1:1" x14ac:dyDescent="0.25">
      <c r="A304" s="2" t="s">
        <v>915</v>
      </c>
    </row>
    <row r="305" spans="1:1" x14ac:dyDescent="0.25">
      <c r="A305" s="2" t="s">
        <v>918</v>
      </c>
    </row>
    <row r="306" spans="1:1" x14ac:dyDescent="0.25">
      <c r="A306" s="2" t="s">
        <v>921</v>
      </c>
    </row>
    <row r="307" spans="1:1" x14ac:dyDescent="0.25">
      <c r="A307" s="2" t="s">
        <v>924</v>
      </c>
    </row>
    <row r="308" spans="1:1" x14ac:dyDescent="0.25">
      <c r="A308" s="2" t="s">
        <v>927</v>
      </c>
    </row>
    <row r="309" spans="1:1" x14ac:dyDescent="0.25">
      <c r="A309" s="2" t="s">
        <v>930</v>
      </c>
    </row>
    <row r="310" spans="1:1" x14ac:dyDescent="0.25">
      <c r="A310" s="2" t="s">
        <v>933</v>
      </c>
    </row>
    <row r="311" spans="1:1" x14ac:dyDescent="0.25">
      <c r="A311" s="2" t="s">
        <v>936</v>
      </c>
    </row>
    <row r="312" spans="1:1" x14ac:dyDescent="0.25">
      <c r="A312" s="2" t="s">
        <v>939</v>
      </c>
    </row>
    <row r="313" spans="1:1" x14ac:dyDescent="0.25">
      <c r="A313" s="2" t="s">
        <v>942</v>
      </c>
    </row>
    <row r="314" spans="1:1" x14ac:dyDescent="0.25">
      <c r="A314" s="2" t="s">
        <v>945</v>
      </c>
    </row>
    <row r="315" spans="1:1" x14ac:dyDescent="0.25">
      <c r="A315" s="2" t="s">
        <v>948</v>
      </c>
    </row>
    <row r="316" spans="1:1" x14ac:dyDescent="0.25">
      <c r="A316" s="2" t="s">
        <v>951</v>
      </c>
    </row>
    <row r="317" spans="1:1" x14ac:dyDescent="0.25">
      <c r="A317" s="2" t="s">
        <v>954</v>
      </c>
    </row>
    <row r="318" spans="1:1" x14ac:dyDescent="0.25">
      <c r="A318" s="2" t="s">
        <v>957</v>
      </c>
    </row>
    <row r="319" spans="1:1" x14ac:dyDescent="0.25">
      <c r="A319" s="2" t="s">
        <v>960</v>
      </c>
    </row>
    <row r="320" spans="1:1" x14ac:dyDescent="0.25">
      <c r="A320" s="2" t="s">
        <v>963</v>
      </c>
    </row>
    <row r="321" spans="1:1" x14ac:dyDescent="0.25">
      <c r="A321" s="2" t="s">
        <v>966</v>
      </c>
    </row>
    <row r="322" spans="1:1" x14ac:dyDescent="0.25">
      <c r="A322" s="2" t="s">
        <v>969</v>
      </c>
    </row>
    <row r="323" spans="1:1" x14ac:dyDescent="0.25">
      <c r="A323" s="2" t="s">
        <v>972</v>
      </c>
    </row>
    <row r="324" spans="1:1" x14ac:dyDescent="0.25">
      <c r="A324" s="2" t="s">
        <v>975</v>
      </c>
    </row>
    <row r="325" spans="1:1" x14ac:dyDescent="0.25">
      <c r="A325" s="2" t="s">
        <v>978</v>
      </c>
    </row>
    <row r="326" spans="1:1" x14ac:dyDescent="0.25">
      <c r="A326" s="2" t="s">
        <v>981</v>
      </c>
    </row>
    <row r="327" spans="1:1" x14ac:dyDescent="0.25">
      <c r="A327" s="2" t="s">
        <v>984</v>
      </c>
    </row>
    <row r="328" spans="1:1" x14ac:dyDescent="0.25">
      <c r="A328" s="2" t="s">
        <v>987</v>
      </c>
    </row>
    <row r="329" spans="1:1" x14ac:dyDescent="0.25">
      <c r="A329" s="2" t="s">
        <v>990</v>
      </c>
    </row>
    <row r="330" spans="1:1" x14ac:dyDescent="0.25">
      <c r="A330" s="2" t="s">
        <v>993</v>
      </c>
    </row>
    <row r="331" spans="1:1" x14ac:dyDescent="0.25">
      <c r="A331" s="2" t="s">
        <v>996</v>
      </c>
    </row>
    <row r="332" spans="1:1" x14ac:dyDescent="0.25">
      <c r="A332" s="2" t="s">
        <v>999</v>
      </c>
    </row>
    <row r="333" spans="1:1" x14ac:dyDescent="0.25">
      <c r="A333" s="2" t="s">
        <v>1002</v>
      </c>
    </row>
    <row r="334" spans="1:1" x14ac:dyDescent="0.25">
      <c r="A334" s="2" t="s">
        <v>1005</v>
      </c>
    </row>
    <row r="335" spans="1:1" x14ac:dyDescent="0.25">
      <c r="A335" s="2" t="s">
        <v>1008</v>
      </c>
    </row>
    <row r="336" spans="1:1" x14ac:dyDescent="0.25">
      <c r="A336" s="2" t="s">
        <v>1011</v>
      </c>
    </row>
    <row r="337" spans="1:1" x14ac:dyDescent="0.25">
      <c r="A337" s="2" t="s">
        <v>1014</v>
      </c>
    </row>
    <row r="338" spans="1:1" x14ac:dyDescent="0.25">
      <c r="A338" s="2" t="s">
        <v>1017</v>
      </c>
    </row>
    <row r="339" spans="1:1" x14ac:dyDescent="0.25">
      <c r="A339" s="2" t="s">
        <v>1020</v>
      </c>
    </row>
    <row r="340" spans="1:1" x14ac:dyDescent="0.25">
      <c r="A340" s="2" t="s">
        <v>1023</v>
      </c>
    </row>
    <row r="341" spans="1:1" x14ac:dyDescent="0.25">
      <c r="A341" s="2" t="s">
        <v>1026</v>
      </c>
    </row>
    <row r="342" spans="1:1" x14ac:dyDescent="0.25">
      <c r="A342" s="2" t="s">
        <v>1029</v>
      </c>
    </row>
    <row r="343" spans="1:1" x14ac:dyDescent="0.25">
      <c r="A343" s="2" t="s">
        <v>1032</v>
      </c>
    </row>
    <row r="344" spans="1:1" x14ac:dyDescent="0.25">
      <c r="A344" s="2" t="s">
        <v>1035</v>
      </c>
    </row>
    <row r="345" spans="1:1" x14ac:dyDescent="0.25">
      <c r="A345" s="2" t="s">
        <v>1038</v>
      </c>
    </row>
    <row r="346" spans="1:1" x14ac:dyDescent="0.25">
      <c r="A346" s="2" t="s">
        <v>1041</v>
      </c>
    </row>
    <row r="347" spans="1:1" x14ac:dyDescent="0.25">
      <c r="A347" s="2" t="s">
        <v>1044</v>
      </c>
    </row>
    <row r="348" spans="1:1" x14ac:dyDescent="0.25">
      <c r="A348" s="2" t="s">
        <v>1047</v>
      </c>
    </row>
    <row r="349" spans="1:1" x14ac:dyDescent="0.25">
      <c r="A349" s="2" t="s">
        <v>1050</v>
      </c>
    </row>
    <row r="350" spans="1:1" x14ac:dyDescent="0.25">
      <c r="A350" s="2" t="s">
        <v>1053</v>
      </c>
    </row>
    <row r="351" spans="1:1" x14ac:dyDescent="0.25">
      <c r="A351" s="2" t="s">
        <v>1056</v>
      </c>
    </row>
    <row r="352" spans="1:1" x14ac:dyDescent="0.25">
      <c r="A352" s="2" t="s">
        <v>1059</v>
      </c>
    </row>
    <row r="353" spans="1:1" x14ac:dyDescent="0.25">
      <c r="A353" s="2" t="s">
        <v>1062</v>
      </c>
    </row>
    <row r="354" spans="1:1" x14ac:dyDescent="0.25">
      <c r="A354" s="2" t="s">
        <v>1065</v>
      </c>
    </row>
    <row r="355" spans="1:1" x14ac:dyDescent="0.25">
      <c r="A355" s="2" t="s">
        <v>1068</v>
      </c>
    </row>
    <row r="356" spans="1:1" x14ac:dyDescent="0.25">
      <c r="A356" s="2" t="s">
        <v>1071</v>
      </c>
    </row>
    <row r="357" spans="1:1" x14ac:dyDescent="0.25">
      <c r="A357" s="2" t="s">
        <v>1074</v>
      </c>
    </row>
    <row r="358" spans="1:1" x14ac:dyDescent="0.25">
      <c r="A358" s="2" t="s">
        <v>1077</v>
      </c>
    </row>
    <row r="359" spans="1:1" x14ac:dyDescent="0.25">
      <c r="A359" s="2" t="s">
        <v>1080</v>
      </c>
    </row>
    <row r="360" spans="1:1" x14ac:dyDescent="0.25">
      <c r="A360" s="2" t="s">
        <v>1083</v>
      </c>
    </row>
    <row r="361" spans="1:1" x14ac:dyDescent="0.25">
      <c r="A361" s="2" t="s">
        <v>1086</v>
      </c>
    </row>
    <row r="362" spans="1:1" x14ac:dyDescent="0.25">
      <c r="A362" s="2" t="s">
        <v>1089</v>
      </c>
    </row>
    <row r="363" spans="1:1" x14ac:dyDescent="0.25">
      <c r="A363" s="2" t="s">
        <v>1092</v>
      </c>
    </row>
    <row r="364" spans="1:1" x14ac:dyDescent="0.25">
      <c r="A364" s="2" t="s">
        <v>1095</v>
      </c>
    </row>
    <row r="365" spans="1:1" x14ac:dyDescent="0.25">
      <c r="A365" s="2" t="s">
        <v>1098</v>
      </c>
    </row>
    <row r="366" spans="1:1" x14ac:dyDescent="0.25">
      <c r="A366" s="2" t="s">
        <v>1101</v>
      </c>
    </row>
    <row r="367" spans="1:1" x14ac:dyDescent="0.25">
      <c r="A367" s="2" t="s">
        <v>1104</v>
      </c>
    </row>
    <row r="368" spans="1:1" x14ac:dyDescent="0.25">
      <c r="A368" s="2" t="s">
        <v>1107</v>
      </c>
    </row>
    <row r="369" spans="1:1" x14ac:dyDescent="0.25">
      <c r="A369" s="2" t="s">
        <v>1110</v>
      </c>
    </row>
    <row r="370" spans="1:1" x14ac:dyDescent="0.25">
      <c r="A370" s="2" t="s">
        <v>1113</v>
      </c>
    </row>
    <row r="371" spans="1:1" x14ac:dyDescent="0.25">
      <c r="A371" s="2" t="s">
        <v>1116</v>
      </c>
    </row>
    <row r="372" spans="1:1" x14ac:dyDescent="0.25">
      <c r="A372" s="2" t="s">
        <v>1119</v>
      </c>
    </row>
    <row r="373" spans="1:1" x14ac:dyDescent="0.25">
      <c r="A373" s="2" t="s">
        <v>1122</v>
      </c>
    </row>
    <row r="374" spans="1:1" x14ac:dyDescent="0.25">
      <c r="A374" s="2" t="s">
        <v>1125</v>
      </c>
    </row>
    <row r="375" spans="1:1" x14ac:dyDescent="0.25">
      <c r="A375" s="2" t="s">
        <v>1128</v>
      </c>
    </row>
    <row r="376" spans="1:1" x14ac:dyDescent="0.25">
      <c r="A376" s="2" t="s">
        <v>1131</v>
      </c>
    </row>
    <row r="377" spans="1:1" x14ac:dyDescent="0.25">
      <c r="A377" s="2" t="s">
        <v>1134</v>
      </c>
    </row>
    <row r="378" spans="1:1" x14ac:dyDescent="0.25">
      <c r="A378" s="2" t="s">
        <v>1137</v>
      </c>
    </row>
    <row r="379" spans="1:1" x14ac:dyDescent="0.25">
      <c r="A379" s="2" t="s">
        <v>1140</v>
      </c>
    </row>
    <row r="380" spans="1:1" x14ac:dyDescent="0.25">
      <c r="A380" s="2" t="s">
        <v>1143</v>
      </c>
    </row>
    <row r="381" spans="1:1" x14ac:dyDescent="0.25">
      <c r="A381" s="2" t="s">
        <v>1146</v>
      </c>
    </row>
    <row r="382" spans="1:1" x14ac:dyDescent="0.25">
      <c r="A382" s="2" t="s">
        <v>1149</v>
      </c>
    </row>
    <row r="383" spans="1:1" x14ac:dyDescent="0.25">
      <c r="A383" s="2" t="s">
        <v>1152</v>
      </c>
    </row>
    <row r="384" spans="1:1" x14ac:dyDescent="0.25">
      <c r="A384" s="2" t="s">
        <v>1155</v>
      </c>
    </row>
    <row r="385" spans="1:1" x14ac:dyDescent="0.25">
      <c r="A385" s="2" t="s">
        <v>1158</v>
      </c>
    </row>
    <row r="386" spans="1:1" x14ac:dyDescent="0.25">
      <c r="A386" s="2" t="s">
        <v>1161</v>
      </c>
    </row>
    <row r="387" spans="1:1" x14ac:dyDescent="0.25">
      <c r="A387" s="2" t="s">
        <v>1164</v>
      </c>
    </row>
    <row r="388" spans="1:1" x14ac:dyDescent="0.25">
      <c r="A388" s="2" t="s">
        <v>1167</v>
      </c>
    </row>
    <row r="389" spans="1:1" x14ac:dyDescent="0.25">
      <c r="A389" s="2" t="s">
        <v>1170</v>
      </c>
    </row>
    <row r="390" spans="1:1" x14ac:dyDescent="0.25">
      <c r="A390" s="2" t="s">
        <v>1173</v>
      </c>
    </row>
    <row r="391" spans="1:1" x14ac:dyDescent="0.25">
      <c r="A391" s="2" t="s">
        <v>1176</v>
      </c>
    </row>
    <row r="392" spans="1:1" x14ac:dyDescent="0.25">
      <c r="A392" s="2" t="s">
        <v>1179</v>
      </c>
    </row>
    <row r="393" spans="1:1" x14ac:dyDescent="0.25">
      <c r="A393" s="2" t="s">
        <v>1182</v>
      </c>
    </row>
    <row r="394" spans="1:1" x14ac:dyDescent="0.25">
      <c r="A394" s="2" t="s">
        <v>1185</v>
      </c>
    </row>
    <row r="395" spans="1:1" x14ac:dyDescent="0.25">
      <c r="A395" s="2" t="s">
        <v>1188</v>
      </c>
    </row>
    <row r="396" spans="1:1" x14ac:dyDescent="0.25">
      <c r="A396" s="2" t="s">
        <v>1191</v>
      </c>
    </row>
    <row r="397" spans="1:1" x14ac:dyDescent="0.25">
      <c r="A397" s="2" t="s">
        <v>1194</v>
      </c>
    </row>
    <row r="398" spans="1:1" x14ac:dyDescent="0.25">
      <c r="A398" s="2" t="s">
        <v>1197</v>
      </c>
    </row>
    <row r="399" spans="1:1" x14ac:dyDescent="0.25">
      <c r="A399" s="2" t="s">
        <v>1200</v>
      </c>
    </row>
    <row r="400" spans="1:1" x14ac:dyDescent="0.25">
      <c r="A400" s="2" t="s">
        <v>1203</v>
      </c>
    </row>
    <row r="401" spans="1:1" x14ac:dyDescent="0.25">
      <c r="A401" s="2" t="s">
        <v>1206</v>
      </c>
    </row>
    <row r="402" spans="1:1" x14ac:dyDescent="0.25">
      <c r="A402" s="2" t="s">
        <v>1209</v>
      </c>
    </row>
    <row r="403" spans="1:1" x14ac:dyDescent="0.25">
      <c r="A403" s="2" t="s">
        <v>1212</v>
      </c>
    </row>
    <row r="404" spans="1:1" x14ac:dyDescent="0.25">
      <c r="A404" s="2" t="s">
        <v>1215</v>
      </c>
    </row>
    <row r="405" spans="1:1" x14ac:dyDescent="0.25">
      <c r="A405" s="2" t="s">
        <v>1218</v>
      </c>
    </row>
    <row r="406" spans="1:1" x14ac:dyDescent="0.25">
      <c r="A406" s="2" t="s">
        <v>1221</v>
      </c>
    </row>
    <row r="407" spans="1:1" x14ac:dyDescent="0.25">
      <c r="A407" s="2" t="s">
        <v>1224</v>
      </c>
    </row>
    <row r="408" spans="1:1" x14ac:dyDescent="0.25">
      <c r="A408" s="2" t="s">
        <v>1227</v>
      </c>
    </row>
    <row r="409" spans="1:1" x14ac:dyDescent="0.25">
      <c r="A409" s="2" t="s">
        <v>1230</v>
      </c>
    </row>
    <row r="410" spans="1:1" x14ac:dyDescent="0.25">
      <c r="A410" s="2" t="s">
        <v>1233</v>
      </c>
    </row>
    <row r="411" spans="1:1" x14ac:dyDescent="0.25">
      <c r="A411" s="2" t="s">
        <v>1236</v>
      </c>
    </row>
    <row r="412" spans="1:1" x14ac:dyDescent="0.25">
      <c r="A412" s="2" t="s">
        <v>1239</v>
      </c>
    </row>
    <row r="413" spans="1:1" x14ac:dyDescent="0.25">
      <c r="A413" s="2" t="s">
        <v>1242</v>
      </c>
    </row>
    <row r="414" spans="1:1" x14ac:dyDescent="0.25">
      <c r="A414" s="2" t="s">
        <v>1245</v>
      </c>
    </row>
    <row r="415" spans="1:1" x14ac:dyDescent="0.25">
      <c r="A415" s="2" t="s">
        <v>1248</v>
      </c>
    </row>
    <row r="416" spans="1:1" x14ac:dyDescent="0.25">
      <c r="A416" s="2" t="s">
        <v>1251</v>
      </c>
    </row>
    <row r="417" spans="1:1" x14ac:dyDescent="0.25">
      <c r="A417" s="2" t="s">
        <v>1254</v>
      </c>
    </row>
    <row r="418" spans="1:1" x14ac:dyDescent="0.25">
      <c r="A418" s="2" t="s">
        <v>1257</v>
      </c>
    </row>
    <row r="419" spans="1:1" x14ac:dyDescent="0.25">
      <c r="A419" s="2" t="s">
        <v>1260</v>
      </c>
    </row>
    <row r="420" spans="1:1" x14ac:dyDescent="0.25">
      <c r="A420" s="2" t="s">
        <v>1263</v>
      </c>
    </row>
    <row r="421" spans="1:1" x14ac:dyDescent="0.25">
      <c r="A421" s="2" t="s">
        <v>1266</v>
      </c>
    </row>
    <row r="422" spans="1:1" x14ac:dyDescent="0.25">
      <c r="A422" s="2" t="s">
        <v>1269</v>
      </c>
    </row>
    <row r="423" spans="1:1" x14ac:dyDescent="0.25">
      <c r="A423" s="2" t="s">
        <v>1272</v>
      </c>
    </row>
    <row r="424" spans="1:1" x14ac:dyDescent="0.25">
      <c r="A424" s="2" t="s">
        <v>1275</v>
      </c>
    </row>
    <row r="425" spans="1:1" x14ac:dyDescent="0.25">
      <c r="A425" s="2" t="s">
        <v>1278</v>
      </c>
    </row>
    <row r="426" spans="1:1" x14ac:dyDescent="0.25">
      <c r="A426" s="2" t="s">
        <v>1281</v>
      </c>
    </row>
    <row r="427" spans="1:1" x14ac:dyDescent="0.25">
      <c r="A427" s="2" t="s">
        <v>1284</v>
      </c>
    </row>
    <row r="428" spans="1:1" x14ac:dyDescent="0.25">
      <c r="A428" s="2" t="s">
        <v>1287</v>
      </c>
    </row>
    <row r="429" spans="1:1" x14ac:dyDescent="0.25">
      <c r="A429" s="2" t="s">
        <v>1290</v>
      </c>
    </row>
    <row r="430" spans="1:1" x14ac:dyDescent="0.25">
      <c r="A430" s="2" t="s">
        <v>1293</v>
      </c>
    </row>
    <row r="431" spans="1:1" x14ac:dyDescent="0.25">
      <c r="A431" s="2" t="s">
        <v>1296</v>
      </c>
    </row>
    <row r="432" spans="1:1" x14ac:dyDescent="0.25">
      <c r="A432" s="2" t="s">
        <v>1299</v>
      </c>
    </row>
    <row r="433" spans="1:1" x14ac:dyDescent="0.25">
      <c r="A433" s="2" t="s">
        <v>1302</v>
      </c>
    </row>
    <row r="434" spans="1:1" x14ac:dyDescent="0.25">
      <c r="A434" s="2" t="s">
        <v>1305</v>
      </c>
    </row>
    <row r="435" spans="1:1" x14ac:dyDescent="0.25">
      <c r="A435" s="2" t="s">
        <v>1308</v>
      </c>
    </row>
    <row r="436" spans="1:1" x14ac:dyDescent="0.25">
      <c r="A436" s="2" t="s">
        <v>1311</v>
      </c>
    </row>
    <row r="437" spans="1:1" x14ac:dyDescent="0.25">
      <c r="A437" s="2" t="s">
        <v>1314</v>
      </c>
    </row>
    <row r="438" spans="1:1" x14ac:dyDescent="0.25">
      <c r="A438" s="2" t="s">
        <v>1317</v>
      </c>
    </row>
    <row r="439" spans="1:1" x14ac:dyDescent="0.25">
      <c r="A439" s="2" t="s">
        <v>1320</v>
      </c>
    </row>
    <row r="440" spans="1:1" x14ac:dyDescent="0.25">
      <c r="A440" s="2" t="s">
        <v>1323</v>
      </c>
    </row>
    <row r="441" spans="1:1" x14ac:dyDescent="0.25">
      <c r="A441" s="2" t="s">
        <v>1326</v>
      </c>
    </row>
    <row r="442" spans="1:1" x14ac:dyDescent="0.25">
      <c r="A442" s="2" t="s">
        <v>1329</v>
      </c>
    </row>
    <row r="443" spans="1:1" x14ac:dyDescent="0.25">
      <c r="A443" s="2" t="s">
        <v>1332</v>
      </c>
    </row>
    <row r="444" spans="1:1" x14ac:dyDescent="0.25">
      <c r="A444" s="2" t="s">
        <v>1335</v>
      </c>
    </row>
    <row r="445" spans="1:1" x14ac:dyDescent="0.25">
      <c r="A445" s="2" t="s">
        <v>1338</v>
      </c>
    </row>
    <row r="446" spans="1:1" x14ac:dyDescent="0.25">
      <c r="A446" s="2" t="s">
        <v>1341</v>
      </c>
    </row>
    <row r="447" spans="1:1" x14ac:dyDescent="0.25">
      <c r="A447" s="2" t="s">
        <v>1344</v>
      </c>
    </row>
    <row r="448" spans="1:1" x14ac:dyDescent="0.25">
      <c r="A448" s="2" t="s">
        <v>1347</v>
      </c>
    </row>
    <row r="449" spans="1:1" x14ac:dyDescent="0.25">
      <c r="A449" s="2" t="s">
        <v>1350</v>
      </c>
    </row>
    <row r="450" spans="1:1" x14ac:dyDescent="0.25">
      <c r="A450" s="2" t="s">
        <v>1353</v>
      </c>
    </row>
    <row r="451" spans="1:1" x14ac:dyDescent="0.25">
      <c r="A451" s="2" t="s">
        <v>1356</v>
      </c>
    </row>
    <row r="452" spans="1:1" x14ac:dyDescent="0.25">
      <c r="A452" s="2" t="s">
        <v>1359</v>
      </c>
    </row>
    <row r="453" spans="1:1" x14ac:dyDescent="0.25">
      <c r="A453" s="2" t="s">
        <v>1362</v>
      </c>
    </row>
    <row r="454" spans="1:1" x14ac:dyDescent="0.25">
      <c r="A454" s="2" t="s">
        <v>1365</v>
      </c>
    </row>
    <row r="455" spans="1:1" x14ac:dyDescent="0.25">
      <c r="A455" s="2" t="s">
        <v>1368</v>
      </c>
    </row>
    <row r="456" spans="1:1" x14ac:dyDescent="0.25">
      <c r="A456" s="2" t="s">
        <v>1371</v>
      </c>
    </row>
    <row r="457" spans="1:1" x14ac:dyDescent="0.25">
      <c r="A457" s="2" t="s">
        <v>1374</v>
      </c>
    </row>
    <row r="458" spans="1:1" x14ac:dyDescent="0.25">
      <c r="A458" s="2" t="s">
        <v>1377</v>
      </c>
    </row>
    <row r="459" spans="1:1" x14ac:dyDescent="0.25">
      <c r="A459" s="2" t="s">
        <v>1380</v>
      </c>
    </row>
    <row r="460" spans="1:1" x14ac:dyDescent="0.25">
      <c r="A460" s="2" t="s">
        <v>1383</v>
      </c>
    </row>
    <row r="461" spans="1:1" x14ac:dyDescent="0.25">
      <c r="A461" s="2" t="s">
        <v>1386</v>
      </c>
    </row>
    <row r="462" spans="1:1" x14ac:dyDescent="0.25">
      <c r="A462" s="2" t="s">
        <v>1389</v>
      </c>
    </row>
    <row r="463" spans="1:1" x14ac:dyDescent="0.25">
      <c r="A463" s="2" t="s">
        <v>1392</v>
      </c>
    </row>
    <row r="464" spans="1:1" x14ac:dyDescent="0.25">
      <c r="A464" s="2" t="s">
        <v>1395</v>
      </c>
    </row>
    <row r="465" spans="1:1" x14ac:dyDescent="0.25">
      <c r="A465" s="2" t="s">
        <v>1398</v>
      </c>
    </row>
    <row r="466" spans="1:1" x14ac:dyDescent="0.25">
      <c r="A466" s="2" t="s">
        <v>1401</v>
      </c>
    </row>
    <row r="467" spans="1:1" x14ac:dyDescent="0.25">
      <c r="A467" s="2" t="s">
        <v>1404</v>
      </c>
    </row>
    <row r="468" spans="1:1" x14ac:dyDescent="0.25">
      <c r="A468" s="2" t="s">
        <v>1407</v>
      </c>
    </row>
    <row r="469" spans="1:1" x14ac:dyDescent="0.25">
      <c r="A469" s="2" t="s">
        <v>1410</v>
      </c>
    </row>
    <row r="470" spans="1:1" x14ac:dyDescent="0.25">
      <c r="A470" s="2" t="s">
        <v>1413</v>
      </c>
    </row>
    <row r="471" spans="1:1" x14ac:dyDescent="0.25">
      <c r="A471" s="2" t="s">
        <v>1416</v>
      </c>
    </row>
    <row r="472" spans="1:1" x14ac:dyDescent="0.25">
      <c r="A472" s="2" t="s">
        <v>1419</v>
      </c>
    </row>
    <row r="473" spans="1:1" x14ac:dyDescent="0.25">
      <c r="A473" s="2" t="s">
        <v>1422</v>
      </c>
    </row>
    <row r="474" spans="1:1" x14ac:dyDescent="0.25">
      <c r="A474" s="2" t="s">
        <v>1425</v>
      </c>
    </row>
    <row r="475" spans="1:1" x14ac:dyDescent="0.25">
      <c r="A475" s="2" t="s">
        <v>1428</v>
      </c>
    </row>
    <row r="476" spans="1:1" x14ac:dyDescent="0.25">
      <c r="A476" s="2" t="s">
        <v>1431</v>
      </c>
    </row>
    <row r="477" spans="1:1" x14ac:dyDescent="0.25">
      <c r="A477" s="2" t="s">
        <v>1434</v>
      </c>
    </row>
    <row r="478" spans="1:1" x14ac:dyDescent="0.25">
      <c r="A478" s="2" t="s">
        <v>1437</v>
      </c>
    </row>
    <row r="479" spans="1:1" x14ac:dyDescent="0.25">
      <c r="A479" s="2" t="s">
        <v>1440</v>
      </c>
    </row>
    <row r="480" spans="1:1" x14ac:dyDescent="0.25">
      <c r="A480" s="2" t="s">
        <v>1443</v>
      </c>
    </row>
    <row r="481" spans="1:1" x14ac:dyDescent="0.25">
      <c r="A481" s="2" t="s">
        <v>1446</v>
      </c>
    </row>
    <row r="482" spans="1:1" x14ac:dyDescent="0.25">
      <c r="A482" s="2" t="s">
        <v>1449</v>
      </c>
    </row>
    <row r="483" spans="1:1" x14ac:dyDescent="0.25">
      <c r="A483" s="2" t="s">
        <v>1452</v>
      </c>
    </row>
    <row r="484" spans="1:1" x14ac:dyDescent="0.25">
      <c r="A484" s="2" t="s">
        <v>1455</v>
      </c>
    </row>
    <row r="485" spans="1:1" x14ac:dyDescent="0.25">
      <c r="A485" s="2" t="s">
        <v>1458</v>
      </c>
    </row>
    <row r="486" spans="1:1" x14ac:dyDescent="0.25">
      <c r="A486" s="2" t="s">
        <v>1461</v>
      </c>
    </row>
    <row r="487" spans="1:1" x14ac:dyDescent="0.25">
      <c r="A487" s="2" t="s">
        <v>1464</v>
      </c>
    </row>
    <row r="488" spans="1:1" x14ac:dyDescent="0.25">
      <c r="A488" s="2" t="s">
        <v>1467</v>
      </c>
    </row>
    <row r="489" spans="1:1" x14ac:dyDescent="0.25">
      <c r="A489" s="2" t="s">
        <v>1470</v>
      </c>
    </row>
    <row r="490" spans="1:1" x14ac:dyDescent="0.25">
      <c r="A490" s="2" t="s">
        <v>1473</v>
      </c>
    </row>
    <row r="491" spans="1:1" x14ac:dyDescent="0.25">
      <c r="A491" s="2" t="s">
        <v>1476</v>
      </c>
    </row>
    <row r="492" spans="1:1" x14ac:dyDescent="0.25">
      <c r="A492" s="2" t="s">
        <v>1479</v>
      </c>
    </row>
    <row r="493" spans="1:1" x14ac:dyDescent="0.25">
      <c r="A493" s="2" t="s">
        <v>1482</v>
      </c>
    </row>
    <row r="494" spans="1:1" x14ac:dyDescent="0.25">
      <c r="A494" s="2" t="s">
        <v>1485</v>
      </c>
    </row>
    <row r="495" spans="1:1" x14ac:dyDescent="0.25">
      <c r="A495" s="2" t="s">
        <v>1488</v>
      </c>
    </row>
    <row r="496" spans="1:1" x14ac:dyDescent="0.25">
      <c r="A496" s="2" t="s">
        <v>1491</v>
      </c>
    </row>
    <row r="497" spans="1:1" x14ac:dyDescent="0.25">
      <c r="A497" s="2" t="s">
        <v>1494</v>
      </c>
    </row>
    <row r="498" spans="1:1" x14ac:dyDescent="0.25">
      <c r="A498" s="2" t="s">
        <v>1497</v>
      </c>
    </row>
    <row r="499" spans="1:1" x14ac:dyDescent="0.25">
      <c r="A499" s="2" t="s">
        <v>1500</v>
      </c>
    </row>
    <row r="500" spans="1:1" x14ac:dyDescent="0.25">
      <c r="A500" s="2" t="s">
        <v>1503</v>
      </c>
    </row>
    <row r="501" spans="1:1" x14ac:dyDescent="0.25">
      <c r="A501" s="2" t="s">
        <v>1506</v>
      </c>
    </row>
    <row r="502" spans="1:1" x14ac:dyDescent="0.25">
      <c r="A502" s="2" t="s">
        <v>1509</v>
      </c>
    </row>
    <row r="503" spans="1:1" x14ac:dyDescent="0.25">
      <c r="A503" s="2" t="s">
        <v>1512</v>
      </c>
    </row>
    <row r="504" spans="1:1" x14ac:dyDescent="0.25">
      <c r="A504" s="2" t="s">
        <v>1515</v>
      </c>
    </row>
    <row r="505" spans="1:1" x14ac:dyDescent="0.25">
      <c r="A505" s="2" t="s">
        <v>1518</v>
      </c>
    </row>
    <row r="506" spans="1:1" x14ac:dyDescent="0.25">
      <c r="A506" s="2" t="s">
        <v>1521</v>
      </c>
    </row>
    <row r="507" spans="1:1" x14ac:dyDescent="0.25">
      <c r="A507" s="2" t="s">
        <v>1524</v>
      </c>
    </row>
    <row r="508" spans="1:1" x14ac:dyDescent="0.25">
      <c r="A508" s="2" t="s">
        <v>1527</v>
      </c>
    </row>
    <row r="509" spans="1:1" x14ac:dyDescent="0.25">
      <c r="A509" s="2" t="s">
        <v>1530</v>
      </c>
    </row>
    <row r="510" spans="1:1" x14ac:dyDescent="0.25">
      <c r="A510" s="2" t="s">
        <v>1533</v>
      </c>
    </row>
    <row r="511" spans="1:1" x14ac:dyDescent="0.25">
      <c r="A511" s="2" t="s">
        <v>1536</v>
      </c>
    </row>
    <row r="512" spans="1:1" x14ac:dyDescent="0.25">
      <c r="A512" s="2" t="s">
        <v>1539</v>
      </c>
    </row>
    <row r="513" spans="1:1" x14ac:dyDescent="0.25">
      <c r="A513" s="2" t="s">
        <v>1542</v>
      </c>
    </row>
    <row r="514" spans="1:1" x14ac:dyDescent="0.25">
      <c r="A514" s="2" t="s">
        <v>1545</v>
      </c>
    </row>
    <row r="515" spans="1:1" x14ac:dyDescent="0.25">
      <c r="A515" s="2" t="s">
        <v>1548</v>
      </c>
    </row>
    <row r="516" spans="1:1" x14ac:dyDescent="0.25">
      <c r="A516" s="2" t="s">
        <v>1551</v>
      </c>
    </row>
    <row r="517" spans="1:1" x14ac:dyDescent="0.25">
      <c r="A517" s="2" t="s">
        <v>1554</v>
      </c>
    </row>
    <row r="518" spans="1:1" x14ac:dyDescent="0.25">
      <c r="A518" s="2" t="s">
        <v>1557</v>
      </c>
    </row>
    <row r="519" spans="1:1" x14ac:dyDescent="0.25">
      <c r="A519" s="2" t="s">
        <v>1560</v>
      </c>
    </row>
    <row r="520" spans="1:1" x14ac:dyDescent="0.25">
      <c r="A520" s="2" t="s">
        <v>1563</v>
      </c>
    </row>
    <row r="521" spans="1:1" x14ac:dyDescent="0.25">
      <c r="A521" s="2" t="s">
        <v>1566</v>
      </c>
    </row>
    <row r="522" spans="1:1" x14ac:dyDescent="0.25">
      <c r="A522" s="2" t="s">
        <v>1569</v>
      </c>
    </row>
    <row r="523" spans="1:1" x14ac:dyDescent="0.25">
      <c r="A523" s="2" t="s">
        <v>1572</v>
      </c>
    </row>
    <row r="524" spans="1:1" x14ac:dyDescent="0.25">
      <c r="A524" s="2" t="s">
        <v>1575</v>
      </c>
    </row>
    <row r="525" spans="1:1" x14ac:dyDescent="0.25">
      <c r="A525" s="2" t="s">
        <v>1578</v>
      </c>
    </row>
    <row r="526" spans="1:1" x14ac:dyDescent="0.25">
      <c r="A526" s="2" t="s">
        <v>1581</v>
      </c>
    </row>
    <row r="527" spans="1:1" x14ac:dyDescent="0.25">
      <c r="A527" s="2" t="s">
        <v>1584</v>
      </c>
    </row>
    <row r="528" spans="1:1" x14ac:dyDescent="0.25">
      <c r="A528" s="2" t="s">
        <v>1587</v>
      </c>
    </row>
    <row r="529" spans="1:1" x14ac:dyDescent="0.25">
      <c r="A529" s="2" t="s">
        <v>1590</v>
      </c>
    </row>
    <row r="530" spans="1:1" x14ac:dyDescent="0.25">
      <c r="A530" s="2" t="s">
        <v>1593</v>
      </c>
    </row>
    <row r="531" spans="1:1" x14ac:dyDescent="0.25">
      <c r="A531" s="2" t="s">
        <v>1596</v>
      </c>
    </row>
    <row r="532" spans="1:1" x14ac:dyDescent="0.25">
      <c r="A532" s="2" t="s">
        <v>1599</v>
      </c>
    </row>
    <row r="533" spans="1:1" x14ac:dyDescent="0.25">
      <c r="A533" s="2" t="s">
        <v>1602</v>
      </c>
    </row>
    <row r="534" spans="1:1" x14ac:dyDescent="0.25">
      <c r="A534" s="2" t="s">
        <v>1605</v>
      </c>
    </row>
    <row r="535" spans="1:1" x14ac:dyDescent="0.25">
      <c r="A535" s="2" t="s">
        <v>1608</v>
      </c>
    </row>
    <row r="536" spans="1:1" x14ac:dyDescent="0.25">
      <c r="A536" s="2" t="s">
        <v>1611</v>
      </c>
    </row>
    <row r="537" spans="1:1" x14ac:dyDescent="0.25">
      <c r="A537" s="2" t="s">
        <v>1614</v>
      </c>
    </row>
    <row r="538" spans="1:1" x14ac:dyDescent="0.25">
      <c r="A538" s="2" t="s">
        <v>1617</v>
      </c>
    </row>
    <row r="539" spans="1:1" x14ac:dyDescent="0.25">
      <c r="A539" s="2" t="s">
        <v>1620</v>
      </c>
    </row>
    <row r="540" spans="1:1" x14ac:dyDescent="0.25">
      <c r="A540" s="2" t="s">
        <v>1623</v>
      </c>
    </row>
    <row r="541" spans="1:1" x14ac:dyDescent="0.25">
      <c r="A541" s="2" t="s">
        <v>1626</v>
      </c>
    </row>
    <row r="542" spans="1:1" x14ac:dyDescent="0.25">
      <c r="A542" s="2" t="s">
        <v>1629</v>
      </c>
    </row>
    <row r="543" spans="1:1" x14ac:dyDescent="0.25">
      <c r="A543" s="2" t="s">
        <v>1632</v>
      </c>
    </row>
    <row r="544" spans="1:1" x14ac:dyDescent="0.25">
      <c r="A544" s="2" t="s">
        <v>1635</v>
      </c>
    </row>
    <row r="545" spans="1:1" x14ac:dyDescent="0.25">
      <c r="A545" s="2" t="s">
        <v>1638</v>
      </c>
    </row>
    <row r="546" spans="1:1" x14ac:dyDescent="0.25">
      <c r="A546" s="2" t="s">
        <v>1641</v>
      </c>
    </row>
    <row r="547" spans="1:1" x14ac:dyDescent="0.25">
      <c r="A547" s="2" t="s">
        <v>1644</v>
      </c>
    </row>
    <row r="548" spans="1:1" x14ac:dyDescent="0.25">
      <c r="A548" s="2" t="s">
        <v>1647</v>
      </c>
    </row>
    <row r="549" spans="1:1" x14ac:dyDescent="0.25">
      <c r="A549" s="2" t="s">
        <v>1650</v>
      </c>
    </row>
    <row r="550" spans="1:1" x14ac:dyDescent="0.25">
      <c r="A550" s="2" t="s">
        <v>1653</v>
      </c>
    </row>
    <row r="551" spans="1:1" x14ac:dyDescent="0.25">
      <c r="A551" s="2" t="s">
        <v>1656</v>
      </c>
    </row>
    <row r="552" spans="1:1" x14ac:dyDescent="0.25">
      <c r="A552" s="2" t="s">
        <v>1659</v>
      </c>
    </row>
    <row r="553" spans="1:1" x14ac:dyDescent="0.25">
      <c r="A553" s="2" t="s">
        <v>1662</v>
      </c>
    </row>
    <row r="554" spans="1:1" x14ac:dyDescent="0.25">
      <c r="A554" s="2" t="s">
        <v>1665</v>
      </c>
    </row>
    <row r="555" spans="1:1" x14ac:dyDescent="0.25">
      <c r="A555" s="2" t="s">
        <v>1668</v>
      </c>
    </row>
    <row r="556" spans="1:1" x14ac:dyDescent="0.25">
      <c r="A556" s="2" t="s">
        <v>1671</v>
      </c>
    </row>
    <row r="557" spans="1:1" x14ac:dyDescent="0.25">
      <c r="A557" s="2" t="s">
        <v>1674</v>
      </c>
    </row>
    <row r="558" spans="1:1" x14ac:dyDescent="0.25">
      <c r="A558" s="2" t="s">
        <v>1677</v>
      </c>
    </row>
    <row r="559" spans="1:1" x14ac:dyDescent="0.25">
      <c r="A559" s="2" t="s">
        <v>1680</v>
      </c>
    </row>
    <row r="560" spans="1:1" x14ac:dyDescent="0.25">
      <c r="A560" s="2" t="s">
        <v>1683</v>
      </c>
    </row>
    <row r="561" spans="1:1" x14ac:dyDescent="0.25">
      <c r="A561" s="2" t="s">
        <v>1686</v>
      </c>
    </row>
    <row r="562" spans="1:1" x14ac:dyDescent="0.25">
      <c r="A562" s="2" t="s">
        <v>1689</v>
      </c>
    </row>
    <row r="563" spans="1:1" x14ac:dyDescent="0.25">
      <c r="A563" s="2" t="s">
        <v>1692</v>
      </c>
    </row>
    <row r="564" spans="1:1" x14ac:dyDescent="0.25">
      <c r="A564" s="2" t="s">
        <v>1695</v>
      </c>
    </row>
    <row r="565" spans="1:1" x14ac:dyDescent="0.25">
      <c r="A565" s="2" t="s">
        <v>1698</v>
      </c>
    </row>
    <row r="566" spans="1:1" x14ac:dyDescent="0.25">
      <c r="A566" s="2" t="s">
        <v>1701</v>
      </c>
    </row>
    <row r="567" spans="1:1" x14ac:dyDescent="0.25">
      <c r="A567" s="2" t="s">
        <v>1704</v>
      </c>
    </row>
    <row r="568" spans="1:1" x14ac:dyDescent="0.25">
      <c r="A568" s="2" t="s">
        <v>1707</v>
      </c>
    </row>
    <row r="569" spans="1:1" x14ac:dyDescent="0.25">
      <c r="A569" s="2" t="s">
        <v>1710</v>
      </c>
    </row>
    <row r="570" spans="1:1" x14ac:dyDescent="0.25">
      <c r="A570" s="2" t="s">
        <v>1713</v>
      </c>
    </row>
    <row r="571" spans="1:1" x14ac:dyDescent="0.25">
      <c r="A571" s="2" t="s">
        <v>1716</v>
      </c>
    </row>
    <row r="572" spans="1:1" x14ac:dyDescent="0.25">
      <c r="A572" s="2" t="s">
        <v>1719</v>
      </c>
    </row>
    <row r="573" spans="1:1" x14ac:dyDescent="0.25">
      <c r="A573" s="2" t="s">
        <v>1722</v>
      </c>
    </row>
    <row r="574" spans="1:1" x14ac:dyDescent="0.25">
      <c r="A574" s="2" t="s">
        <v>1725</v>
      </c>
    </row>
    <row r="575" spans="1:1" x14ac:dyDescent="0.25">
      <c r="A575" s="2" t="s">
        <v>1728</v>
      </c>
    </row>
    <row r="576" spans="1:1" x14ac:dyDescent="0.25">
      <c r="A576" s="2" t="s">
        <v>1731</v>
      </c>
    </row>
    <row r="577" spans="1:1" x14ac:dyDescent="0.25">
      <c r="A577" s="2" t="s">
        <v>1734</v>
      </c>
    </row>
    <row r="578" spans="1:1" x14ac:dyDescent="0.25">
      <c r="A578" s="2" t="s">
        <v>1737</v>
      </c>
    </row>
    <row r="579" spans="1:1" x14ac:dyDescent="0.25">
      <c r="A579" s="2" t="s">
        <v>1740</v>
      </c>
    </row>
    <row r="580" spans="1:1" x14ac:dyDescent="0.25">
      <c r="A580" s="2" t="s">
        <v>1743</v>
      </c>
    </row>
    <row r="581" spans="1:1" x14ac:dyDescent="0.25">
      <c r="A581" s="2" t="s">
        <v>1746</v>
      </c>
    </row>
    <row r="582" spans="1:1" x14ac:dyDescent="0.25">
      <c r="A582" s="2" t="s">
        <v>1749</v>
      </c>
    </row>
    <row r="583" spans="1:1" x14ac:dyDescent="0.25">
      <c r="A583" s="2" t="s">
        <v>1752</v>
      </c>
    </row>
    <row r="584" spans="1:1" x14ac:dyDescent="0.25">
      <c r="A584" s="2" t="s">
        <v>1755</v>
      </c>
    </row>
    <row r="585" spans="1:1" x14ac:dyDescent="0.25">
      <c r="A585" s="2" t="s">
        <v>1758</v>
      </c>
    </row>
    <row r="586" spans="1:1" x14ac:dyDescent="0.25">
      <c r="A586" s="2" t="s">
        <v>1761</v>
      </c>
    </row>
    <row r="587" spans="1:1" x14ac:dyDescent="0.25">
      <c r="A587" s="2" t="s">
        <v>1764</v>
      </c>
    </row>
    <row r="588" spans="1:1" x14ac:dyDescent="0.25">
      <c r="A588" s="2" t="s">
        <v>1767</v>
      </c>
    </row>
    <row r="589" spans="1:1" x14ac:dyDescent="0.25">
      <c r="A589" s="2" t="s">
        <v>1770</v>
      </c>
    </row>
    <row r="590" spans="1:1" x14ac:dyDescent="0.25">
      <c r="A590" s="2" t="s">
        <v>1773</v>
      </c>
    </row>
    <row r="591" spans="1:1" x14ac:dyDescent="0.25">
      <c r="A591" s="2" t="s">
        <v>1776</v>
      </c>
    </row>
    <row r="592" spans="1:1" x14ac:dyDescent="0.25">
      <c r="A592" s="2" t="s">
        <v>1779</v>
      </c>
    </row>
    <row r="593" spans="1:1" x14ac:dyDescent="0.25">
      <c r="A593" s="2" t="s">
        <v>1782</v>
      </c>
    </row>
    <row r="594" spans="1:1" x14ac:dyDescent="0.25">
      <c r="A594" s="2" t="s">
        <v>1785</v>
      </c>
    </row>
    <row r="595" spans="1:1" x14ac:dyDescent="0.25">
      <c r="A595" s="2" t="s">
        <v>1788</v>
      </c>
    </row>
    <row r="596" spans="1:1" x14ac:dyDescent="0.25">
      <c r="A596" s="2" t="s">
        <v>1791</v>
      </c>
    </row>
    <row r="597" spans="1:1" x14ac:dyDescent="0.25">
      <c r="A597" s="2" t="s">
        <v>1794</v>
      </c>
    </row>
    <row r="598" spans="1:1" x14ac:dyDescent="0.25">
      <c r="A598" s="2" t="s">
        <v>1797</v>
      </c>
    </row>
    <row r="599" spans="1:1" x14ac:dyDescent="0.25">
      <c r="A599" s="2" t="s">
        <v>1800</v>
      </c>
    </row>
    <row r="600" spans="1:1" x14ac:dyDescent="0.25">
      <c r="A600" s="2" t="s">
        <v>1803</v>
      </c>
    </row>
    <row r="601" spans="1:1" x14ac:dyDescent="0.25">
      <c r="A601" s="2" t="s">
        <v>1806</v>
      </c>
    </row>
    <row r="602" spans="1:1" x14ac:dyDescent="0.25">
      <c r="A602" s="2" t="s">
        <v>1809</v>
      </c>
    </row>
    <row r="603" spans="1:1" x14ac:dyDescent="0.25">
      <c r="A603" s="2" t="s">
        <v>1812</v>
      </c>
    </row>
    <row r="604" spans="1:1" x14ac:dyDescent="0.25">
      <c r="A604" s="2" t="s">
        <v>1815</v>
      </c>
    </row>
    <row r="605" spans="1:1" x14ac:dyDescent="0.25">
      <c r="A605" s="2" t="s">
        <v>1818</v>
      </c>
    </row>
    <row r="606" spans="1:1" x14ac:dyDescent="0.25">
      <c r="A606" s="2" t="s">
        <v>1821</v>
      </c>
    </row>
    <row r="607" spans="1:1" x14ac:dyDescent="0.25">
      <c r="A607" s="2" t="s">
        <v>1824</v>
      </c>
    </row>
    <row r="608" spans="1:1" x14ac:dyDescent="0.25">
      <c r="A608" s="2" t="s">
        <v>1827</v>
      </c>
    </row>
    <row r="609" spans="1:1" x14ac:dyDescent="0.25">
      <c r="A609" s="2" t="s">
        <v>1830</v>
      </c>
    </row>
    <row r="610" spans="1:1" x14ac:dyDescent="0.25">
      <c r="A610" s="2" t="s">
        <v>1833</v>
      </c>
    </row>
    <row r="611" spans="1:1" x14ac:dyDescent="0.25">
      <c r="A611" s="2" t="s">
        <v>1836</v>
      </c>
    </row>
    <row r="612" spans="1:1" x14ac:dyDescent="0.25">
      <c r="A612" s="2" t="s">
        <v>1839</v>
      </c>
    </row>
    <row r="613" spans="1:1" x14ac:dyDescent="0.25">
      <c r="A613" s="2" t="s">
        <v>1842</v>
      </c>
    </row>
    <row r="614" spans="1:1" x14ac:dyDescent="0.25">
      <c r="A614" s="2" t="s">
        <v>1845</v>
      </c>
    </row>
    <row r="615" spans="1:1" x14ac:dyDescent="0.25">
      <c r="A615" s="2" t="s">
        <v>1848</v>
      </c>
    </row>
    <row r="616" spans="1:1" x14ac:dyDescent="0.25">
      <c r="A616" s="2" t="s">
        <v>1851</v>
      </c>
    </row>
    <row r="617" spans="1:1" x14ac:dyDescent="0.25">
      <c r="A617" s="2" t="s">
        <v>1854</v>
      </c>
    </row>
    <row r="618" spans="1:1" x14ac:dyDescent="0.25">
      <c r="A618" s="2" t="s">
        <v>1857</v>
      </c>
    </row>
    <row r="619" spans="1:1" x14ac:dyDescent="0.25">
      <c r="A619" s="2" t="s">
        <v>1860</v>
      </c>
    </row>
    <row r="620" spans="1:1" x14ac:dyDescent="0.25">
      <c r="A620" s="2" t="s">
        <v>1863</v>
      </c>
    </row>
    <row r="621" spans="1:1" x14ac:dyDescent="0.25">
      <c r="A621" s="2" t="s">
        <v>1866</v>
      </c>
    </row>
    <row r="622" spans="1:1" x14ac:dyDescent="0.25">
      <c r="A622" s="2" t="s">
        <v>1869</v>
      </c>
    </row>
    <row r="623" spans="1:1" x14ac:dyDescent="0.25">
      <c r="A623" s="2" t="s">
        <v>1872</v>
      </c>
    </row>
    <row r="624" spans="1:1" x14ac:dyDescent="0.25">
      <c r="A624" s="2" t="s">
        <v>1875</v>
      </c>
    </row>
    <row r="625" spans="1:1" x14ac:dyDescent="0.25">
      <c r="A625" s="2" t="s">
        <v>1878</v>
      </c>
    </row>
    <row r="626" spans="1:1" x14ac:dyDescent="0.25">
      <c r="A626" s="2" t="s">
        <v>1881</v>
      </c>
    </row>
    <row r="627" spans="1:1" x14ac:dyDescent="0.25">
      <c r="A627" s="2" t="s">
        <v>1884</v>
      </c>
    </row>
    <row r="628" spans="1:1" x14ac:dyDescent="0.25">
      <c r="A628" s="2" t="s">
        <v>1887</v>
      </c>
    </row>
    <row r="629" spans="1:1" x14ac:dyDescent="0.25">
      <c r="A629" s="2" t="s">
        <v>1890</v>
      </c>
    </row>
    <row r="630" spans="1:1" x14ac:dyDescent="0.25">
      <c r="A630" s="2" t="s">
        <v>1893</v>
      </c>
    </row>
    <row r="631" spans="1:1" x14ac:dyDescent="0.25">
      <c r="A631" s="2" t="s">
        <v>1896</v>
      </c>
    </row>
    <row r="632" spans="1:1" x14ac:dyDescent="0.25">
      <c r="A632" s="2" t="s">
        <v>1899</v>
      </c>
    </row>
    <row r="633" spans="1:1" x14ac:dyDescent="0.25">
      <c r="A633" s="2" t="s">
        <v>1902</v>
      </c>
    </row>
    <row r="634" spans="1:1" x14ac:dyDescent="0.25">
      <c r="A634" s="2" t="s">
        <v>1905</v>
      </c>
    </row>
    <row r="635" spans="1:1" x14ac:dyDescent="0.25">
      <c r="A635" s="2" t="s">
        <v>1908</v>
      </c>
    </row>
    <row r="636" spans="1:1" x14ac:dyDescent="0.25">
      <c r="A636" s="2" t="s">
        <v>1911</v>
      </c>
    </row>
    <row r="637" spans="1:1" x14ac:dyDescent="0.25">
      <c r="A637" s="2" t="s">
        <v>1914</v>
      </c>
    </row>
    <row r="638" spans="1:1" x14ac:dyDescent="0.25">
      <c r="A638" s="2" t="s">
        <v>1917</v>
      </c>
    </row>
    <row r="639" spans="1:1" x14ac:dyDescent="0.25">
      <c r="A639" s="2" t="s">
        <v>1920</v>
      </c>
    </row>
    <row r="640" spans="1:1" x14ac:dyDescent="0.25">
      <c r="A640" s="2" t="s">
        <v>1923</v>
      </c>
    </row>
    <row r="641" spans="1:1" x14ac:dyDescent="0.25">
      <c r="A641" s="2" t="s">
        <v>1926</v>
      </c>
    </row>
    <row r="642" spans="1:1" x14ac:dyDescent="0.25">
      <c r="A642" s="2" t="s">
        <v>1929</v>
      </c>
    </row>
    <row r="643" spans="1:1" x14ac:dyDescent="0.25">
      <c r="A643" s="2" t="s">
        <v>1932</v>
      </c>
    </row>
    <row r="644" spans="1:1" x14ac:dyDescent="0.25">
      <c r="A644" s="2" t="s">
        <v>1935</v>
      </c>
    </row>
    <row r="645" spans="1:1" x14ac:dyDescent="0.25">
      <c r="A645" s="2" t="s">
        <v>1938</v>
      </c>
    </row>
    <row r="646" spans="1:1" x14ac:dyDescent="0.25">
      <c r="A646" s="2" t="s">
        <v>1941</v>
      </c>
    </row>
    <row r="647" spans="1:1" x14ac:dyDescent="0.25">
      <c r="A647" s="2" t="s">
        <v>1944</v>
      </c>
    </row>
    <row r="648" spans="1:1" x14ac:dyDescent="0.25">
      <c r="A648" s="2" t="s">
        <v>1947</v>
      </c>
    </row>
    <row r="649" spans="1:1" x14ac:dyDescent="0.25">
      <c r="A649" s="2" t="s">
        <v>1950</v>
      </c>
    </row>
    <row r="650" spans="1:1" x14ac:dyDescent="0.25">
      <c r="A650" s="2" t="s">
        <v>1953</v>
      </c>
    </row>
    <row r="651" spans="1:1" x14ac:dyDescent="0.25">
      <c r="A651" s="2" t="s">
        <v>1956</v>
      </c>
    </row>
    <row r="652" spans="1:1" x14ac:dyDescent="0.25">
      <c r="A652" s="2" t="s">
        <v>1959</v>
      </c>
    </row>
    <row r="653" spans="1:1" x14ac:dyDescent="0.25">
      <c r="A653" s="2" t="s">
        <v>1962</v>
      </c>
    </row>
    <row r="654" spans="1:1" x14ac:dyDescent="0.25">
      <c r="A654" s="2" t="s">
        <v>1965</v>
      </c>
    </row>
    <row r="655" spans="1:1" x14ac:dyDescent="0.25">
      <c r="A655" s="2" t="s">
        <v>1968</v>
      </c>
    </row>
    <row r="656" spans="1:1" x14ac:dyDescent="0.25">
      <c r="A656" s="2" t="s">
        <v>1971</v>
      </c>
    </row>
    <row r="657" spans="1:1" x14ac:dyDescent="0.25">
      <c r="A657" s="2" t="s">
        <v>1974</v>
      </c>
    </row>
    <row r="658" spans="1:1" x14ac:dyDescent="0.25">
      <c r="A658" s="2" t="s">
        <v>1977</v>
      </c>
    </row>
    <row r="659" spans="1:1" x14ac:dyDescent="0.25">
      <c r="A659" s="2" t="s">
        <v>1980</v>
      </c>
    </row>
    <row r="660" spans="1:1" x14ac:dyDescent="0.25">
      <c r="A660" s="2" t="s">
        <v>1983</v>
      </c>
    </row>
    <row r="661" spans="1:1" x14ac:dyDescent="0.25">
      <c r="A661" s="2" t="s">
        <v>1986</v>
      </c>
    </row>
    <row r="662" spans="1:1" x14ac:dyDescent="0.25">
      <c r="A662" s="2" t="s">
        <v>1989</v>
      </c>
    </row>
    <row r="663" spans="1:1" x14ac:dyDescent="0.25">
      <c r="A663" s="2" t="s">
        <v>1992</v>
      </c>
    </row>
    <row r="664" spans="1:1" x14ac:dyDescent="0.25">
      <c r="A664" s="2" t="s">
        <v>1995</v>
      </c>
    </row>
    <row r="665" spans="1:1" x14ac:dyDescent="0.25">
      <c r="A665" s="2" t="s">
        <v>1998</v>
      </c>
    </row>
    <row r="666" spans="1:1" x14ac:dyDescent="0.25">
      <c r="A666" s="2" t="s">
        <v>2001</v>
      </c>
    </row>
    <row r="667" spans="1:1" x14ac:dyDescent="0.25">
      <c r="A667" s="2" t="s">
        <v>2004</v>
      </c>
    </row>
    <row r="668" spans="1:1" x14ac:dyDescent="0.25">
      <c r="A668" s="2" t="s">
        <v>2007</v>
      </c>
    </row>
    <row r="669" spans="1:1" x14ac:dyDescent="0.25">
      <c r="A669" s="2" t="s">
        <v>2010</v>
      </c>
    </row>
    <row r="670" spans="1:1" x14ac:dyDescent="0.25">
      <c r="A670" s="2" t="s">
        <v>2013</v>
      </c>
    </row>
    <row r="671" spans="1:1" x14ac:dyDescent="0.25">
      <c r="A671" s="2" t="s">
        <v>2016</v>
      </c>
    </row>
    <row r="672" spans="1:1" x14ac:dyDescent="0.25">
      <c r="A672" s="2" t="s">
        <v>2019</v>
      </c>
    </row>
    <row r="673" spans="1:1" x14ac:dyDescent="0.25">
      <c r="A673" s="2" t="s">
        <v>2022</v>
      </c>
    </row>
    <row r="674" spans="1:1" x14ac:dyDescent="0.25">
      <c r="A674" s="2" t="s">
        <v>2025</v>
      </c>
    </row>
    <row r="675" spans="1:1" x14ac:dyDescent="0.25">
      <c r="A675" s="2" t="s">
        <v>2028</v>
      </c>
    </row>
    <row r="676" spans="1:1" x14ac:dyDescent="0.25">
      <c r="A676" s="2" t="s">
        <v>2031</v>
      </c>
    </row>
    <row r="677" spans="1:1" x14ac:dyDescent="0.25">
      <c r="A677" s="2" t="s">
        <v>2034</v>
      </c>
    </row>
    <row r="678" spans="1:1" x14ac:dyDescent="0.25">
      <c r="A678" s="2" t="s">
        <v>2037</v>
      </c>
    </row>
    <row r="679" spans="1:1" x14ac:dyDescent="0.25">
      <c r="A679" s="2" t="s">
        <v>2040</v>
      </c>
    </row>
    <row r="680" spans="1:1" x14ac:dyDescent="0.25">
      <c r="A680" s="2" t="s">
        <v>2043</v>
      </c>
    </row>
    <row r="681" spans="1:1" x14ac:dyDescent="0.25">
      <c r="A681" s="2" t="s">
        <v>2046</v>
      </c>
    </row>
    <row r="682" spans="1:1" x14ac:dyDescent="0.25">
      <c r="A682" s="2" t="s">
        <v>2049</v>
      </c>
    </row>
    <row r="683" spans="1:1" x14ac:dyDescent="0.25">
      <c r="A683" s="2" t="s">
        <v>2052</v>
      </c>
    </row>
    <row r="684" spans="1:1" x14ac:dyDescent="0.25">
      <c r="A684" s="2" t="s">
        <v>2055</v>
      </c>
    </row>
    <row r="685" spans="1:1" x14ac:dyDescent="0.25">
      <c r="A685" s="2" t="s">
        <v>2058</v>
      </c>
    </row>
    <row r="686" spans="1:1" x14ac:dyDescent="0.25">
      <c r="A686" s="2" t="s">
        <v>2061</v>
      </c>
    </row>
    <row r="687" spans="1:1" x14ac:dyDescent="0.25">
      <c r="A687" s="2" t="s">
        <v>2064</v>
      </c>
    </row>
    <row r="688" spans="1:1" x14ac:dyDescent="0.25">
      <c r="A688" s="2" t="s">
        <v>2067</v>
      </c>
    </row>
    <row r="689" spans="1:1" x14ac:dyDescent="0.25">
      <c r="A689" s="2" t="s">
        <v>2070</v>
      </c>
    </row>
    <row r="690" spans="1:1" x14ac:dyDescent="0.25">
      <c r="A690" s="2" t="s">
        <v>2073</v>
      </c>
    </row>
    <row r="691" spans="1:1" x14ac:dyDescent="0.25">
      <c r="A691" s="2" t="s">
        <v>2076</v>
      </c>
    </row>
    <row r="692" spans="1:1" x14ac:dyDescent="0.25">
      <c r="A692" s="2" t="s">
        <v>2079</v>
      </c>
    </row>
    <row r="693" spans="1:1" x14ac:dyDescent="0.25">
      <c r="A693" s="2" t="s">
        <v>2082</v>
      </c>
    </row>
    <row r="694" spans="1:1" x14ac:dyDescent="0.25">
      <c r="A694" s="2" t="s">
        <v>2085</v>
      </c>
    </row>
    <row r="695" spans="1:1" x14ac:dyDescent="0.25">
      <c r="A695" s="2" t="s">
        <v>2088</v>
      </c>
    </row>
    <row r="696" spans="1:1" x14ac:dyDescent="0.25">
      <c r="A696" s="2" t="s">
        <v>2091</v>
      </c>
    </row>
    <row r="697" spans="1:1" x14ac:dyDescent="0.25">
      <c r="A697" s="2" t="s">
        <v>2094</v>
      </c>
    </row>
    <row r="698" spans="1:1" x14ac:dyDescent="0.25">
      <c r="A698" s="2" t="s">
        <v>2097</v>
      </c>
    </row>
    <row r="699" spans="1:1" x14ac:dyDescent="0.25">
      <c r="A699" s="2" t="s">
        <v>2100</v>
      </c>
    </row>
    <row r="700" spans="1:1" x14ac:dyDescent="0.25">
      <c r="A700" s="2" t="s">
        <v>2103</v>
      </c>
    </row>
    <row r="701" spans="1:1" x14ac:dyDescent="0.25">
      <c r="A701" s="2" t="s">
        <v>2106</v>
      </c>
    </row>
    <row r="702" spans="1:1" x14ac:dyDescent="0.25">
      <c r="A702" s="2" t="s">
        <v>2109</v>
      </c>
    </row>
    <row r="703" spans="1:1" x14ac:dyDescent="0.25">
      <c r="A703" s="2" t="s">
        <v>2112</v>
      </c>
    </row>
    <row r="704" spans="1:1" x14ac:dyDescent="0.25">
      <c r="A704" s="2" t="s">
        <v>2115</v>
      </c>
    </row>
    <row r="705" spans="1:1" x14ac:dyDescent="0.25">
      <c r="A705" s="2" t="s">
        <v>2118</v>
      </c>
    </row>
    <row r="706" spans="1:1" x14ac:dyDescent="0.25">
      <c r="A706" s="2" t="s">
        <v>2121</v>
      </c>
    </row>
    <row r="707" spans="1:1" x14ac:dyDescent="0.25">
      <c r="A707" s="2" t="s">
        <v>2124</v>
      </c>
    </row>
    <row r="708" spans="1:1" x14ac:dyDescent="0.25">
      <c r="A708" s="2" t="s">
        <v>2127</v>
      </c>
    </row>
    <row r="709" spans="1:1" x14ac:dyDescent="0.25">
      <c r="A709" s="2" t="s">
        <v>2130</v>
      </c>
    </row>
    <row r="710" spans="1:1" x14ac:dyDescent="0.25">
      <c r="A710" s="2" t="s">
        <v>2133</v>
      </c>
    </row>
    <row r="711" spans="1:1" x14ac:dyDescent="0.25">
      <c r="A711" s="2" t="s">
        <v>2136</v>
      </c>
    </row>
    <row r="712" spans="1:1" x14ac:dyDescent="0.25">
      <c r="A712" s="2" t="s">
        <v>2139</v>
      </c>
    </row>
    <row r="713" spans="1:1" x14ac:dyDescent="0.25">
      <c r="A713" s="2" t="s">
        <v>2142</v>
      </c>
    </row>
    <row r="714" spans="1:1" x14ac:dyDescent="0.25">
      <c r="A714" s="2" t="s">
        <v>2145</v>
      </c>
    </row>
    <row r="715" spans="1:1" x14ac:dyDescent="0.25">
      <c r="A715" s="2" t="s">
        <v>2148</v>
      </c>
    </row>
    <row r="716" spans="1:1" x14ac:dyDescent="0.25">
      <c r="A716" s="2" t="s">
        <v>2151</v>
      </c>
    </row>
    <row r="717" spans="1:1" x14ac:dyDescent="0.25">
      <c r="A717" s="2" t="s">
        <v>2154</v>
      </c>
    </row>
    <row r="718" spans="1:1" x14ac:dyDescent="0.25">
      <c r="A718" s="2" t="s">
        <v>2157</v>
      </c>
    </row>
    <row r="719" spans="1:1" x14ac:dyDescent="0.25">
      <c r="A719" s="2" t="s">
        <v>2160</v>
      </c>
    </row>
    <row r="720" spans="1:1" x14ac:dyDescent="0.25">
      <c r="A720" s="2" t="s">
        <v>2163</v>
      </c>
    </row>
    <row r="721" spans="1:1" x14ac:dyDescent="0.25">
      <c r="A721" s="2" t="s">
        <v>2166</v>
      </c>
    </row>
    <row r="722" spans="1:1" x14ac:dyDescent="0.25">
      <c r="A722" s="2" t="s">
        <v>2169</v>
      </c>
    </row>
    <row r="723" spans="1:1" x14ac:dyDescent="0.25">
      <c r="A723" s="2" t="s">
        <v>2172</v>
      </c>
    </row>
    <row r="724" spans="1:1" x14ac:dyDescent="0.25">
      <c r="A724" s="2" t="s">
        <v>2175</v>
      </c>
    </row>
    <row r="725" spans="1:1" x14ac:dyDescent="0.25">
      <c r="A725" s="2" t="s">
        <v>2178</v>
      </c>
    </row>
    <row r="726" spans="1:1" x14ac:dyDescent="0.25">
      <c r="A726" s="2" t="s">
        <v>2181</v>
      </c>
    </row>
    <row r="727" spans="1:1" x14ac:dyDescent="0.25">
      <c r="A727" s="2" t="s">
        <v>2184</v>
      </c>
    </row>
    <row r="728" spans="1:1" x14ac:dyDescent="0.25">
      <c r="A728" s="2" t="s">
        <v>2187</v>
      </c>
    </row>
    <row r="729" spans="1:1" x14ac:dyDescent="0.25">
      <c r="A729" s="2" t="s">
        <v>2190</v>
      </c>
    </row>
    <row r="730" spans="1:1" x14ac:dyDescent="0.25">
      <c r="A730" s="2" t="s">
        <v>2193</v>
      </c>
    </row>
    <row r="731" spans="1:1" x14ac:dyDescent="0.25">
      <c r="A731" s="2" t="s">
        <v>2196</v>
      </c>
    </row>
    <row r="732" spans="1:1" x14ac:dyDescent="0.25">
      <c r="A732" s="2" t="s">
        <v>2199</v>
      </c>
    </row>
    <row r="733" spans="1:1" x14ac:dyDescent="0.25">
      <c r="A733" s="2" t="s">
        <v>2202</v>
      </c>
    </row>
    <row r="734" spans="1:1" x14ac:dyDescent="0.25">
      <c r="A734" s="2" t="s">
        <v>2205</v>
      </c>
    </row>
    <row r="735" spans="1:1" x14ac:dyDescent="0.25">
      <c r="A735" s="2" t="s">
        <v>2208</v>
      </c>
    </row>
    <row r="736" spans="1:1" x14ac:dyDescent="0.25">
      <c r="A736" s="2" t="s">
        <v>2211</v>
      </c>
    </row>
    <row r="737" spans="1:1" x14ac:dyDescent="0.25">
      <c r="A737" s="2" t="s">
        <v>2214</v>
      </c>
    </row>
    <row r="738" spans="1:1" x14ac:dyDescent="0.25">
      <c r="A738" s="2" t="s">
        <v>2217</v>
      </c>
    </row>
    <row r="739" spans="1:1" x14ac:dyDescent="0.25">
      <c r="A739" s="2" t="s">
        <v>2220</v>
      </c>
    </row>
    <row r="740" spans="1:1" x14ac:dyDescent="0.25">
      <c r="A740" s="2" t="s">
        <v>2223</v>
      </c>
    </row>
    <row r="741" spans="1:1" x14ac:dyDescent="0.25">
      <c r="A741" s="2" t="s">
        <v>2226</v>
      </c>
    </row>
    <row r="742" spans="1:1" x14ac:dyDescent="0.25">
      <c r="A742" s="2" t="s">
        <v>2229</v>
      </c>
    </row>
    <row r="743" spans="1:1" x14ac:dyDescent="0.25">
      <c r="A743" s="2" t="s">
        <v>2232</v>
      </c>
    </row>
    <row r="744" spans="1:1" x14ac:dyDescent="0.25">
      <c r="A744" s="2" t="s">
        <v>2235</v>
      </c>
    </row>
    <row r="745" spans="1:1" x14ac:dyDescent="0.25">
      <c r="A745" s="2" t="s">
        <v>2238</v>
      </c>
    </row>
    <row r="746" spans="1:1" x14ac:dyDescent="0.25">
      <c r="A746" s="2" t="s">
        <v>2241</v>
      </c>
    </row>
    <row r="747" spans="1:1" x14ac:dyDescent="0.25">
      <c r="A747" s="2" t="s">
        <v>2244</v>
      </c>
    </row>
    <row r="748" spans="1:1" x14ac:dyDescent="0.25">
      <c r="A748" s="2" t="s">
        <v>2247</v>
      </c>
    </row>
    <row r="749" spans="1:1" x14ac:dyDescent="0.25">
      <c r="A749" s="2" t="s">
        <v>2250</v>
      </c>
    </row>
    <row r="750" spans="1:1" x14ac:dyDescent="0.25">
      <c r="A750" s="2" t="s">
        <v>2253</v>
      </c>
    </row>
    <row r="751" spans="1:1" x14ac:dyDescent="0.25">
      <c r="A751" s="2" t="s">
        <v>2256</v>
      </c>
    </row>
    <row r="752" spans="1:1" x14ac:dyDescent="0.25">
      <c r="A752" s="2" t="s">
        <v>2259</v>
      </c>
    </row>
    <row r="753" spans="1:1" x14ac:dyDescent="0.25">
      <c r="A753" s="2" t="s">
        <v>2262</v>
      </c>
    </row>
    <row r="754" spans="1:1" x14ac:dyDescent="0.25">
      <c r="A754" s="2" t="s">
        <v>2265</v>
      </c>
    </row>
    <row r="755" spans="1:1" x14ac:dyDescent="0.25">
      <c r="A755" s="2" t="s">
        <v>2268</v>
      </c>
    </row>
    <row r="756" spans="1:1" x14ac:dyDescent="0.25">
      <c r="A756" s="2" t="s">
        <v>2271</v>
      </c>
    </row>
    <row r="757" spans="1:1" x14ac:dyDescent="0.25">
      <c r="A757" s="2" t="s">
        <v>2274</v>
      </c>
    </row>
    <row r="758" spans="1:1" x14ac:dyDescent="0.25">
      <c r="A758" s="2" t="s">
        <v>2277</v>
      </c>
    </row>
    <row r="759" spans="1:1" x14ac:dyDescent="0.25">
      <c r="A759" s="2" t="s">
        <v>2280</v>
      </c>
    </row>
    <row r="760" spans="1:1" x14ac:dyDescent="0.25">
      <c r="A760" s="2" t="s">
        <v>2283</v>
      </c>
    </row>
    <row r="761" spans="1:1" x14ac:dyDescent="0.25">
      <c r="A761" s="2" t="s">
        <v>2286</v>
      </c>
    </row>
    <row r="762" spans="1:1" x14ac:dyDescent="0.25">
      <c r="A762" s="2" t="s">
        <v>2289</v>
      </c>
    </row>
    <row r="763" spans="1:1" x14ac:dyDescent="0.25">
      <c r="A763" s="2" t="s">
        <v>2292</v>
      </c>
    </row>
    <row r="764" spans="1:1" x14ac:dyDescent="0.25">
      <c r="A764" s="2" t="s">
        <v>2295</v>
      </c>
    </row>
    <row r="765" spans="1:1" x14ac:dyDescent="0.25">
      <c r="A765" s="2" t="s">
        <v>2298</v>
      </c>
    </row>
    <row r="766" spans="1:1" x14ac:dyDescent="0.25">
      <c r="A766" s="2" t="s">
        <v>2301</v>
      </c>
    </row>
    <row r="767" spans="1:1" x14ac:dyDescent="0.25">
      <c r="A767" s="2" t="s">
        <v>2304</v>
      </c>
    </row>
    <row r="768" spans="1:1" x14ac:dyDescent="0.25">
      <c r="A768" s="2" t="s">
        <v>2307</v>
      </c>
    </row>
    <row r="769" spans="1:1" x14ac:dyDescent="0.25">
      <c r="A769" s="2" t="s">
        <v>2310</v>
      </c>
    </row>
    <row r="770" spans="1:1" x14ac:dyDescent="0.25">
      <c r="A770" s="2" t="s">
        <v>2313</v>
      </c>
    </row>
    <row r="771" spans="1:1" x14ac:dyDescent="0.25">
      <c r="A771" s="2" t="s">
        <v>2316</v>
      </c>
    </row>
    <row r="772" spans="1:1" x14ac:dyDescent="0.25">
      <c r="A772" s="2" t="s">
        <v>2319</v>
      </c>
    </row>
    <row r="773" spans="1:1" x14ac:dyDescent="0.25">
      <c r="A773" s="2" t="s">
        <v>2322</v>
      </c>
    </row>
    <row r="774" spans="1:1" x14ac:dyDescent="0.25">
      <c r="A774" s="2" t="s">
        <v>2325</v>
      </c>
    </row>
    <row r="775" spans="1:1" x14ac:dyDescent="0.25">
      <c r="A775" s="2" t="s">
        <v>2328</v>
      </c>
    </row>
    <row r="776" spans="1:1" x14ac:dyDescent="0.25">
      <c r="A776" s="2" t="s">
        <v>2331</v>
      </c>
    </row>
    <row r="777" spans="1:1" x14ac:dyDescent="0.25">
      <c r="A777" s="2" t="s">
        <v>2334</v>
      </c>
    </row>
    <row r="778" spans="1:1" x14ac:dyDescent="0.25">
      <c r="A778" s="2" t="s">
        <v>2337</v>
      </c>
    </row>
    <row r="779" spans="1:1" x14ac:dyDescent="0.25">
      <c r="A779" s="2" t="s">
        <v>2340</v>
      </c>
    </row>
    <row r="780" spans="1:1" x14ac:dyDescent="0.25">
      <c r="A780" s="2" t="s">
        <v>2343</v>
      </c>
    </row>
    <row r="781" spans="1:1" x14ac:dyDescent="0.25">
      <c r="A781" s="2" t="s">
        <v>2346</v>
      </c>
    </row>
    <row r="782" spans="1:1" x14ac:dyDescent="0.25">
      <c r="A782" s="2" t="s">
        <v>2349</v>
      </c>
    </row>
    <row r="783" spans="1:1" x14ac:dyDescent="0.25">
      <c r="A783" s="2" t="s">
        <v>2352</v>
      </c>
    </row>
    <row r="784" spans="1:1" x14ac:dyDescent="0.25">
      <c r="A784" s="2" t="s">
        <v>2355</v>
      </c>
    </row>
    <row r="785" spans="1:1" x14ac:dyDescent="0.25">
      <c r="A785" s="2" t="s">
        <v>2358</v>
      </c>
    </row>
    <row r="786" spans="1:1" x14ac:dyDescent="0.25">
      <c r="A786" s="2" t="s">
        <v>2361</v>
      </c>
    </row>
    <row r="787" spans="1:1" x14ac:dyDescent="0.25">
      <c r="A787" s="2" t="s">
        <v>2364</v>
      </c>
    </row>
    <row r="788" spans="1:1" x14ac:dyDescent="0.25">
      <c r="A788" s="2" t="s">
        <v>2367</v>
      </c>
    </row>
    <row r="789" spans="1:1" x14ac:dyDescent="0.25">
      <c r="A789" s="2" t="s">
        <v>2370</v>
      </c>
    </row>
    <row r="790" spans="1:1" x14ac:dyDescent="0.25">
      <c r="A790" s="2" t="s">
        <v>2373</v>
      </c>
    </row>
    <row r="791" spans="1:1" x14ac:dyDescent="0.25">
      <c r="A791" s="2" t="s">
        <v>2376</v>
      </c>
    </row>
    <row r="792" spans="1:1" x14ac:dyDescent="0.25">
      <c r="A792" s="2" t="s">
        <v>2379</v>
      </c>
    </row>
    <row r="793" spans="1:1" x14ac:dyDescent="0.25">
      <c r="A793" s="2" t="s">
        <v>2382</v>
      </c>
    </row>
    <row r="794" spans="1:1" x14ac:dyDescent="0.25">
      <c r="A794" s="2" t="s">
        <v>2385</v>
      </c>
    </row>
    <row r="795" spans="1:1" x14ac:dyDescent="0.25">
      <c r="A795" s="2" t="s">
        <v>2388</v>
      </c>
    </row>
    <row r="796" spans="1:1" x14ac:dyDescent="0.25">
      <c r="A796" s="2" t="s">
        <v>2391</v>
      </c>
    </row>
    <row r="797" spans="1:1" x14ac:dyDescent="0.25">
      <c r="A797" s="2" t="s">
        <v>2394</v>
      </c>
    </row>
    <row r="798" spans="1:1" x14ac:dyDescent="0.25">
      <c r="A798" s="2" t="s">
        <v>2397</v>
      </c>
    </row>
    <row r="799" spans="1:1" x14ac:dyDescent="0.25">
      <c r="A799" s="2" t="s">
        <v>2400</v>
      </c>
    </row>
    <row r="800" spans="1:1" x14ac:dyDescent="0.25">
      <c r="A800" s="2" t="s">
        <v>2403</v>
      </c>
    </row>
    <row r="801" spans="1:1" x14ac:dyDescent="0.25">
      <c r="A801" s="2" t="s">
        <v>2406</v>
      </c>
    </row>
    <row r="802" spans="1:1" x14ac:dyDescent="0.25">
      <c r="A802" s="2" t="s">
        <v>2409</v>
      </c>
    </row>
    <row r="803" spans="1:1" x14ac:dyDescent="0.25">
      <c r="A803" s="2" t="s">
        <v>2412</v>
      </c>
    </row>
    <row r="804" spans="1:1" x14ac:dyDescent="0.25">
      <c r="A804" s="2" t="s">
        <v>2415</v>
      </c>
    </row>
    <row r="805" spans="1:1" x14ac:dyDescent="0.25">
      <c r="A805" s="2" t="s">
        <v>2418</v>
      </c>
    </row>
    <row r="806" spans="1:1" x14ac:dyDescent="0.25">
      <c r="A806" s="2" t="s">
        <v>2421</v>
      </c>
    </row>
    <row r="807" spans="1:1" x14ac:dyDescent="0.25">
      <c r="A807" s="2" t="s">
        <v>2424</v>
      </c>
    </row>
    <row r="808" spans="1:1" x14ac:dyDescent="0.25">
      <c r="A808" s="2" t="s">
        <v>2427</v>
      </c>
    </row>
    <row r="809" spans="1:1" x14ac:dyDescent="0.25">
      <c r="A809" s="2" t="s">
        <v>2430</v>
      </c>
    </row>
    <row r="810" spans="1:1" x14ac:dyDescent="0.25">
      <c r="A810" s="2" t="s">
        <v>2433</v>
      </c>
    </row>
    <row r="811" spans="1:1" x14ac:dyDescent="0.25">
      <c r="A811" s="2" t="s">
        <v>2436</v>
      </c>
    </row>
    <row r="812" spans="1:1" x14ac:dyDescent="0.25">
      <c r="A812" s="2" t="s">
        <v>2439</v>
      </c>
    </row>
    <row r="813" spans="1:1" x14ac:dyDescent="0.25">
      <c r="A813" s="2" t="s">
        <v>2442</v>
      </c>
    </row>
    <row r="814" spans="1:1" x14ac:dyDescent="0.25">
      <c r="A814" s="2" t="s">
        <v>2445</v>
      </c>
    </row>
    <row r="815" spans="1:1" x14ac:dyDescent="0.25">
      <c r="A815" s="2" t="s">
        <v>2448</v>
      </c>
    </row>
    <row r="816" spans="1:1" x14ac:dyDescent="0.25">
      <c r="A816" s="2" t="s">
        <v>2451</v>
      </c>
    </row>
    <row r="817" spans="1:1" x14ac:dyDescent="0.25">
      <c r="A817" s="2" t="s">
        <v>2454</v>
      </c>
    </row>
    <row r="818" spans="1:1" x14ac:dyDescent="0.25">
      <c r="A818" s="2" t="s">
        <v>2457</v>
      </c>
    </row>
    <row r="819" spans="1:1" x14ac:dyDescent="0.25">
      <c r="A819" s="2" t="s">
        <v>2460</v>
      </c>
    </row>
    <row r="820" spans="1:1" x14ac:dyDescent="0.25">
      <c r="A820" s="2" t="s">
        <v>2463</v>
      </c>
    </row>
    <row r="821" spans="1:1" x14ac:dyDescent="0.25">
      <c r="A821" s="2" t="s">
        <v>2466</v>
      </c>
    </row>
    <row r="822" spans="1:1" x14ac:dyDescent="0.25">
      <c r="A822" s="2" t="s">
        <v>2469</v>
      </c>
    </row>
    <row r="823" spans="1:1" x14ac:dyDescent="0.25">
      <c r="A823" s="2" t="s">
        <v>2472</v>
      </c>
    </row>
    <row r="824" spans="1:1" x14ac:dyDescent="0.25">
      <c r="A824" s="2" t="s">
        <v>2475</v>
      </c>
    </row>
    <row r="825" spans="1:1" x14ac:dyDescent="0.25">
      <c r="A825" s="2" t="s">
        <v>2478</v>
      </c>
    </row>
    <row r="826" spans="1:1" x14ac:dyDescent="0.25">
      <c r="A826" s="2" t="s">
        <v>2481</v>
      </c>
    </row>
    <row r="827" spans="1:1" x14ac:dyDescent="0.25">
      <c r="A827" s="2" t="s">
        <v>2484</v>
      </c>
    </row>
    <row r="828" spans="1:1" x14ac:dyDescent="0.25">
      <c r="A828" s="2" t="s">
        <v>2487</v>
      </c>
    </row>
    <row r="829" spans="1:1" x14ac:dyDescent="0.25">
      <c r="A829" s="2" t="s">
        <v>2490</v>
      </c>
    </row>
    <row r="830" spans="1:1" x14ac:dyDescent="0.25">
      <c r="A830" s="2" t="s">
        <v>2493</v>
      </c>
    </row>
    <row r="831" spans="1:1" x14ac:dyDescent="0.25">
      <c r="A831" s="2" t="s">
        <v>2496</v>
      </c>
    </row>
    <row r="832" spans="1:1" x14ac:dyDescent="0.25">
      <c r="A832" s="2" t="s">
        <v>2499</v>
      </c>
    </row>
    <row r="833" spans="1:1" x14ac:dyDescent="0.25">
      <c r="A833" s="2" t="s">
        <v>2502</v>
      </c>
    </row>
    <row r="834" spans="1:1" x14ac:dyDescent="0.25">
      <c r="A834" s="2" t="s">
        <v>2505</v>
      </c>
    </row>
    <row r="835" spans="1:1" x14ac:dyDescent="0.25">
      <c r="A835" s="2" t="s">
        <v>2508</v>
      </c>
    </row>
    <row r="836" spans="1:1" x14ac:dyDescent="0.25">
      <c r="A836" s="2" t="s">
        <v>2511</v>
      </c>
    </row>
    <row r="837" spans="1:1" x14ac:dyDescent="0.25">
      <c r="A837" s="2" t="s">
        <v>2514</v>
      </c>
    </row>
    <row r="838" spans="1:1" x14ac:dyDescent="0.25">
      <c r="A838" s="2" t="s">
        <v>2517</v>
      </c>
    </row>
    <row r="839" spans="1:1" x14ac:dyDescent="0.25">
      <c r="A839" s="2" t="s">
        <v>2520</v>
      </c>
    </row>
    <row r="840" spans="1:1" x14ac:dyDescent="0.25">
      <c r="A840" s="2" t="s">
        <v>2523</v>
      </c>
    </row>
    <row r="841" spans="1:1" x14ac:dyDescent="0.25">
      <c r="A841" s="2" t="s">
        <v>2526</v>
      </c>
    </row>
    <row r="842" spans="1:1" x14ac:dyDescent="0.25">
      <c r="A842" s="2" t="s">
        <v>2529</v>
      </c>
    </row>
    <row r="843" spans="1:1" x14ac:dyDescent="0.25">
      <c r="A843" s="2" t="s">
        <v>2532</v>
      </c>
    </row>
    <row r="844" spans="1:1" x14ac:dyDescent="0.25">
      <c r="A844" s="2" t="s">
        <v>2535</v>
      </c>
    </row>
    <row r="845" spans="1:1" x14ac:dyDescent="0.25">
      <c r="A845" s="2" t="s">
        <v>2538</v>
      </c>
    </row>
    <row r="846" spans="1:1" x14ac:dyDescent="0.25">
      <c r="A846" s="2" t="s">
        <v>2541</v>
      </c>
    </row>
    <row r="847" spans="1:1" x14ac:dyDescent="0.25">
      <c r="A847" s="2" t="s">
        <v>2544</v>
      </c>
    </row>
    <row r="848" spans="1:1" x14ac:dyDescent="0.25">
      <c r="A848" s="2" t="s">
        <v>2547</v>
      </c>
    </row>
    <row r="849" spans="1:1" x14ac:dyDescent="0.25">
      <c r="A849" s="2" t="s">
        <v>2550</v>
      </c>
    </row>
    <row r="850" spans="1:1" x14ac:dyDescent="0.25">
      <c r="A850" s="2" t="s">
        <v>2553</v>
      </c>
    </row>
    <row r="851" spans="1:1" x14ac:dyDescent="0.25">
      <c r="A851" s="2" t="s">
        <v>2556</v>
      </c>
    </row>
    <row r="852" spans="1:1" x14ac:dyDescent="0.25">
      <c r="A852" s="2" t="s">
        <v>2559</v>
      </c>
    </row>
    <row r="853" spans="1:1" x14ac:dyDescent="0.25">
      <c r="A853" s="2" t="s">
        <v>2562</v>
      </c>
    </row>
    <row r="854" spans="1:1" x14ac:dyDescent="0.25">
      <c r="A854" s="2" t="s">
        <v>2565</v>
      </c>
    </row>
    <row r="855" spans="1:1" x14ac:dyDescent="0.25">
      <c r="A855" s="2" t="s">
        <v>2568</v>
      </c>
    </row>
    <row r="856" spans="1:1" x14ac:dyDescent="0.25">
      <c r="A856" s="2" t="s">
        <v>2571</v>
      </c>
    </row>
    <row r="857" spans="1:1" x14ac:dyDescent="0.25">
      <c r="A857" s="2" t="s">
        <v>2574</v>
      </c>
    </row>
    <row r="858" spans="1:1" x14ac:dyDescent="0.25">
      <c r="A858" s="2" t="s">
        <v>2577</v>
      </c>
    </row>
    <row r="859" spans="1:1" x14ac:dyDescent="0.25">
      <c r="A859" s="2" t="s">
        <v>2580</v>
      </c>
    </row>
    <row r="860" spans="1:1" x14ac:dyDescent="0.25">
      <c r="A860" s="2" t="s">
        <v>2583</v>
      </c>
    </row>
    <row r="861" spans="1:1" x14ac:dyDescent="0.25">
      <c r="A861" s="2" t="s">
        <v>2586</v>
      </c>
    </row>
    <row r="862" spans="1:1" x14ac:dyDescent="0.25">
      <c r="A862" s="2" t="s">
        <v>2589</v>
      </c>
    </row>
    <row r="863" spans="1:1" x14ac:dyDescent="0.25">
      <c r="A863" s="2" t="s">
        <v>2592</v>
      </c>
    </row>
    <row r="864" spans="1:1" x14ac:dyDescent="0.25">
      <c r="A864" s="2" t="s">
        <v>2595</v>
      </c>
    </row>
    <row r="865" spans="1:1" x14ac:dyDescent="0.25">
      <c r="A865" s="2" t="s">
        <v>2598</v>
      </c>
    </row>
    <row r="866" spans="1:1" x14ac:dyDescent="0.25">
      <c r="A866" s="2" t="s">
        <v>2601</v>
      </c>
    </row>
    <row r="867" spans="1:1" x14ac:dyDescent="0.25">
      <c r="A867" s="2" t="s">
        <v>2604</v>
      </c>
    </row>
    <row r="868" spans="1:1" x14ac:dyDescent="0.25">
      <c r="A868" s="2" t="s">
        <v>2607</v>
      </c>
    </row>
    <row r="869" spans="1:1" x14ac:dyDescent="0.25">
      <c r="A869" s="2" t="s">
        <v>2610</v>
      </c>
    </row>
    <row r="870" spans="1:1" x14ac:dyDescent="0.25">
      <c r="A870" s="2" t="s">
        <v>2613</v>
      </c>
    </row>
    <row r="871" spans="1:1" x14ac:dyDescent="0.25">
      <c r="A871" s="2" t="s">
        <v>2616</v>
      </c>
    </row>
    <row r="872" spans="1:1" x14ac:dyDescent="0.25">
      <c r="A872" s="2" t="s">
        <v>2619</v>
      </c>
    </row>
    <row r="873" spans="1:1" x14ac:dyDescent="0.25">
      <c r="A873" s="2" t="s">
        <v>2622</v>
      </c>
    </row>
    <row r="874" spans="1:1" x14ac:dyDescent="0.25">
      <c r="A874" s="2" t="s">
        <v>2625</v>
      </c>
    </row>
    <row r="875" spans="1:1" x14ac:dyDescent="0.25">
      <c r="A875" s="2" t="s">
        <v>2628</v>
      </c>
    </row>
    <row r="876" spans="1:1" x14ac:dyDescent="0.25">
      <c r="A876" s="2" t="s">
        <v>2631</v>
      </c>
    </row>
    <row r="877" spans="1:1" x14ac:dyDescent="0.25">
      <c r="A877" s="2" t="s">
        <v>2634</v>
      </c>
    </row>
    <row r="878" spans="1:1" x14ac:dyDescent="0.25">
      <c r="A878" s="2" t="s">
        <v>2637</v>
      </c>
    </row>
    <row r="879" spans="1:1" x14ac:dyDescent="0.25">
      <c r="A879" s="2" t="s">
        <v>2640</v>
      </c>
    </row>
    <row r="880" spans="1:1" x14ac:dyDescent="0.25">
      <c r="A880" s="2" t="s">
        <v>2643</v>
      </c>
    </row>
    <row r="881" spans="1:1" x14ac:dyDescent="0.25">
      <c r="A881" s="2" t="s">
        <v>2646</v>
      </c>
    </row>
    <row r="882" spans="1:1" x14ac:dyDescent="0.25">
      <c r="A882" s="2" t="s">
        <v>2649</v>
      </c>
    </row>
    <row r="883" spans="1:1" x14ac:dyDescent="0.25">
      <c r="A883" s="2" t="s">
        <v>2652</v>
      </c>
    </row>
    <row r="884" spans="1:1" x14ac:dyDescent="0.25">
      <c r="A884" s="2" t="s">
        <v>2655</v>
      </c>
    </row>
    <row r="885" spans="1:1" x14ac:dyDescent="0.25">
      <c r="A885" s="2" t="s">
        <v>2658</v>
      </c>
    </row>
    <row r="886" spans="1:1" x14ac:dyDescent="0.25">
      <c r="A886" s="2" t="s">
        <v>2661</v>
      </c>
    </row>
    <row r="887" spans="1:1" x14ac:dyDescent="0.25">
      <c r="A887" s="2" t="s">
        <v>2664</v>
      </c>
    </row>
    <row r="888" spans="1:1" x14ac:dyDescent="0.25">
      <c r="A888" s="2" t="s">
        <v>2667</v>
      </c>
    </row>
    <row r="889" spans="1:1" x14ac:dyDescent="0.25">
      <c r="A889" s="2" t="s">
        <v>2670</v>
      </c>
    </row>
    <row r="890" spans="1:1" x14ac:dyDescent="0.25">
      <c r="A890" s="2" t="s">
        <v>2673</v>
      </c>
    </row>
    <row r="891" spans="1:1" x14ac:dyDescent="0.25">
      <c r="A891" s="2" t="s">
        <v>2676</v>
      </c>
    </row>
    <row r="892" spans="1:1" x14ac:dyDescent="0.25">
      <c r="A892" s="2" t="s">
        <v>2679</v>
      </c>
    </row>
    <row r="893" spans="1:1" x14ac:dyDescent="0.25">
      <c r="A893" s="2" t="s">
        <v>2682</v>
      </c>
    </row>
    <row r="894" spans="1:1" x14ac:dyDescent="0.25">
      <c r="A894" s="2" t="s">
        <v>2685</v>
      </c>
    </row>
    <row r="895" spans="1:1" x14ac:dyDescent="0.25">
      <c r="A895" s="2" t="s">
        <v>2688</v>
      </c>
    </row>
    <row r="896" spans="1:1" x14ac:dyDescent="0.25">
      <c r="A896" s="2" t="s">
        <v>2691</v>
      </c>
    </row>
    <row r="897" spans="1:1" x14ac:dyDescent="0.25">
      <c r="A897" s="2" t="s">
        <v>2694</v>
      </c>
    </row>
    <row r="898" spans="1:1" x14ac:dyDescent="0.25">
      <c r="A898" s="2" t="s">
        <v>2697</v>
      </c>
    </row>
    <row r="899" spans="1:1" x14ac:dyDescent="0.25">
      <c r="A899" s="2" t="s">
        <v>2700</v>
      </c>
    </row>
    <row r="900" spans="1:1" x14ac:dyDescent="0.25">
      <c r="A900" s="2" t="s">
        <v>2703</v>
      </c>
    </row>
    <row r="901" spans="1:1" x14ac:dyDescent="0.25">
      <c r="A901" s="2" t="s">
        <v>2706</v>
      </c>
    </row>
    <row r="902" spans="1:1" x14ac:dyDescent="0.25">
      <c r="A902" s="2" t="s">
        <v>2709</v>
      </c>
    </row>
    <row r="903" spans="1:1" x14ac:dyDescent="0.25">
      <c r="A903" s="2" t="s">
        <v>2712</v>
      </c>
    </row>
    <row r="904" spans="1:1" x14ac:dyDescent="0.25">
      <c r="A904" s="2" t="s">
        <v>2715</v>
      </c>
    </row>
    <row r="905" spans="1:1" x14ac:dyDescent="0.25">
      <c r="A905" s="2" t="s">
        <v>2718</v>
      </c>
    </row>
    <row r="906" spans="1:1" x14ac:dyDescent="0.25">
      <c r="A906" s="2" t="s">
        <v>2721</v>
      </c>
    </row>
    <row r="907" spans="1:1" x14ac:dyDescent="0.25">
      <c r="A907" s="2" t="s">
        <v>2724</v>
      </c>
    </row>
    <row r="908" spans="1:1" x14ac:dyDescent="0.25">
      <c r="A908" s="2" t="s">
        <v>2727</v>
      </c>
    </row>
    <row r="909" spans="1:1" x14ac:dyDescent="0.25">
      <c r="A909" s="2" t="s">
        <v>2730</v>
      </c>
    </row>
    <row r="910" spans="1:1" x14ac:dyDescent="0.25">
      <c r="A910" s="2" t="s">
        <v>2733</v>
      </c>
    </row>
    <row r="911" spans="1:1" x14ac:dyDescent="0.25">
      <c r="A911" s="2" t="s">
        <v>2736</v>
      </c>
    </row>
    <row r="912" spans="1:1" x14ac:dyDescent="0.25">
      <c r="A912" s="2" t="s">
        <v>2739</v>
      </c>
    </row>
    <row r="913" spans="1:1" x14ac:dyDescent="0.25">
      <c r="A913" s="2" t="s">
        <v>2742</v>
      </c>
    </row>
    <row r="914" spans="1:1" x14ac:dyDescent="0.25">
      <c r="A914" s="2" t="s">
        <v>2745</v>
      </c>
    </row>
    <row r="915" spans="1:1" x14ac:dyDescent="0.25">
      <c r="A915" s="2" t="s">
        <v>2748</v>
      </c>
    </row>
    <row r="916" spans="1:1" x14ac:dyDescent="0.25">
      <c r="A916" s="2" t="s">
        <v>2751</v>
      </c>
    </row>
    <row r="917" spans="1:1" x14ac:dyDescent="0.25">
      <c r="A917" s="2" t="s">
        <v>2754</v>
      </c>
    </row>
    <row r="918" spans="1:1" x14ac:dyDescent="0.25">
      <c r="A918" s="2" t="s">
        <v>2757</v>
      </c>
    </row>
    <row r="919" spans="1:1" x14ac:dyDescent="0.25">
      <c r="A919" s="2" t="s">
        <v>2760</v>
      </c>
    </row>
    <row r="920" spans="1:1" x14ac:dyDescent="0.25">
      <c r="A920" s="2" t="s">
        <v>2763</v>
      </c>
    </row>
    <row r="921" spans="1:1" x14ac:dyDescent="0.25">
      <c r="A921" s="2" t="s">
        <v>2766</v>
      </c>
    </row>
    <row r="922" spans="1:1" x14ac:dyDescent="0.25">
      <c r="A922" s="2" t="s">
        <v>2769</v>
      </c>
    </row>
    <row r="923" spans="1:1" x14ac:dyDescent="0.25">
      <c r="A923" s="2" t="s">
        <v>2772</v>
      </c>
    </row>
    <row r="924" spans="1:1" x14ac:dyDescent="0.25">
      <c r="A924" s="2" t="s">
        <v>2775</v>
      </c>
    </row>
    <row r="925" spans="1:1" x14ac:dyDescent="0.25">
      <c r="A925" s="2" t="s">
        <v>2778</v>
      </c>
    </row>
    <row r="926" spans="1:1" x14ac:dyDescent="0.25">
      <c r="A926" s="2" t="s">
        <v>2781</v>
      </c>
    </row>
    <row r="927" spans="1:1" x14ac:dyDescent="0.25">
      <c r="A927" s="2" t="s">
        <v>2784</v>
      </c>
    </row>
    <row r="928" spans="1:1" x14ac:dyDescent="0.25">
      <c r="A928" s="2" t="s">
        <v>2787</v>
      </c>
    </row>
    <row r="929" spans="1:1" x14ac:dyDescent="0.25">
      <c r="A929" s="2" t="s">
        <v>2790</v>
      </c>
    </row>
    <row r="930" spans="1:1" x14ac:dyDescent="0.25">
      <c r="A930" s="2" t="s">
        <v>2793</v>
      </c>
    </row>
    <row r="931" spans="1:1" x14ac:dyDescent="0.25">
      <c r="A931" s="2" t="s">
        <v>2796</v>
      </c>
    </row>
    <row r="932" spans="1:1" x14ac:dyDescent="0.25">
      <c r="A932" s="2" t="s">
        <v>2799</v>
      </c>
    </row>
    <row r="933" spans="1:1" x14ac:dyDescent="0.25">
      <c r="A933" s="2" t="s">
        <v>2802</v>
      </c>
    </row>
    <row r="934" spans="1:1" x14ac:dyDescent="0.25">
      <c r="A934" s="2" t="s">
        <v>2805</v>
      </c>
    </row>
    <row r="935" spans="1:1" x14ac:dyDescent="0.25">
      <c r="A935" s="2" t="s">
        <v>2808</v>
      </c>
    </row>
    <row r="936" spans="1:1" x14ac:dyDescent="0.25">
      <c r="A936" s="2" t="s">
        <v>2811</v>
      </c>
    </row>
    <row r="937" spans="1:1" x14ac:dyDescent="0.25">
      <c r="A937" s="2" t="s">
        <v>2814</v>
      </c>
    </row>
    <row r="938" spans="1:1" x14ac:dyDescent="0.25">
      <c r="A938" s="2" t="s">
        <v>2817</v>
      </c>
    </row>
    <row r="939" spans="1:1" x14ac:dyDescent="0.25">
      <c r="A939" s="2" t="s">
        <v>2820</v>
      </c>
    </row>
    <row r="940" spans="1:1" x14ac:dyDescent="0.25">
      <c r="A940" s="2" t="s">
        <v>2823</v>
      </c>
    </row>
    <row r="941" spans="1:1" x14ac:dyDescent="0.25">
      <c r="A941" s="2" t="s">
        <v>2826</v>
      </c>
    </row>
    <row r="942" spans="1:1" x14ac:dyDescent="0.25">
      <c r="A942" s="2" t="s">
        <v>2829</v>
      </c>
    </row>
    <row r="943" spans="1:1" x14ac:dyDescent="0.25">
      <c r="A943" s="2" t="s">
        <v>2832</v>
      </c>
    </row>
    <row r="944" spans="1:1" x14ac:dyDescent="0.25">
      <c r="A944" s="2" t="s">
        <v>2835</v>
      </c>
    </row>
    <row r="945" spans="1:1" x14ac:dyDescent="0.25">
      <c r="A945" s="2" t="s">
        <v>2838</v>
      </c>
    </row>
    <row r="946" spans="1:1" x14ac:dyDescent="0.25">
      <c r="A946" s="2" t="s">
        <v>2841</v>
      </c>
    </row>
    <row r="947" spans="1:1" x14ac:dyDescent="0.25">
      <c r="A947" s="2" t="s">
        <v>2844</v>
      </c>
    </row>
    <row r="948" spans="1:1" x14ac:dyDescent="0.25">
      <c r="A948" s="2" t="s">
        <v>2847</v>
      </c>
    </row>
    <row r="949" spans="1:1" x14ac:dyDescent="0.25">
      <c r="A949" s="2" t="s">
        <v>2850</v>
      </c>
    </row>
    <row r="950" spans="1:1" x14ac:dyDescent="0.25">
      <c r="A950" s="2" t="s">
        <v>2853</v>
      </c>
    </row>
    <row r="951" spans="1:1" x14ac:dyDescent="0.25">
      <c r="A951" s="2" t="s">
        <v>2856</v>
      </c>
    </row>
    <row r="952" spans="1:1" x14ac:dyDescent="0.25">
      <c r="A952" s="2" t="s">
        <v>2859</v>
      </c>
    </row>
    <row r="953" spans="1:1" x14ac:dyDescent="0.25">
      <c r="A953" s="2" t="s">
        <v>2862</v>
      </c>
    </row>
    <row r="954" spans="1:1" x14ac:dyDescent="0.25">
      <c r="A954" s="2" t="s">
        <v>2865</v>
      </c>
    </row>
    <row r="955" spans="1:1" x14ac:dyDescent="0.25">
      <c r="A955" s="2" t="s">
        <v>2868</v>
      </c>
    </row>
    <row r="956" spans="1:1" x14ac:dyDescent="0.25">
      <c r="A956" s="2" t="s">
        <v>2871</v>
      </c>
    </row>
    <row r="957" spans="1:1" x14ac:dyDescent="0.25">
      <c r="A957" s="2" t="s">
        <v>2874</v>
      </c>
    </row>
    <row r="958" spans="1:1" x14ac:dyDescent="0.25">
      <c r="A958" s="2" t="s">
        <v>2877</v>
      </c>
    </row>
    <row r="959" spans="1:1" x14ac:dyDescent="0.25">
      <c r="A959" s="2" t="s">
        <v>2880</v>
      </c>
    </row>
    <row r="960" spans="1:1" x14ac:dyDescent="0.25">
      <c r="A960" s="2" t="s">
        <v>2883</v>
      </c>
    </row>
    <row r="961" spans="1:1" x14ac:dyDescent="0.25">
      <c r="A961" s="2" t="s">
        <v>2886</v>
      </c>
    </row>
    <row r="962" spans="1:1" x14ac:dyDescent="0.25">
      <c r="A962" s="2" t="s">
        <v>2889</v>
      </c>
    </row>
    <row r="963" spans="1:1" x14ac:dyDescent="0.25">
      <c r="A963" s="2" t="s">
        <v>2892</v>
      </c>
    </row>
    <row r="964" spans="1:1" x14ac:dyDescent="0.25">
      <c r="A964" s="2" t="s">
        <v>2895</v>
      </c>
    </row>
    <row r="965" spans="1:1" x14ac:dyDescent="0.25">
      <c r="A965" s="2" t="s">
        <v>2898</v>
      </c>
    </row>
    <row r="966" spans="1:1" x14ac:dyDescent="0.25">
      <c r="A966" s="2" t="s">
        <v>2901</v>
      </c>
    </row>
    <row r="967" spans="1:1" x14ac:dyDescent="0.25">
      <c r="A967" s="2" t="s">
        <v>2904</v>
      </c>
    </row>
    <row r="968" spans="1:1" x14ac:dyDescent="0.25">
      <c r="A968" s="2" t="s">
        <v>2907</v>
      </c>
    </row>
    <row r="969" spans="1:1" x14ac:dyDescent="0.25">
      <c r="A969" s="2" t="s">
        <v>2910</v>
      </c>
    </row>
    <row r="970" spans="1:1" x14ac:dyDescent="0.25">
      <c r="A970" s="2" t="s">
        <v>2913</v>
      </c>
    </row>
    <row r="971" spans="1:1" x14ac:dyDescent="0.25">
      <c r="A971" s="2" t="s">
        <v>2916</v>
      </c>
    </row>
    <row r="972" spans="1:1" x14ac:dyDescent="0.25">
      <c r="A972" s="2" t="s">
        <v>2919</v>
      </c>
    </row>
    <row r="973" spans="1:1" x14ac:dyDescent="0.25">
      <c r="A973" s="2" t="s">
        <v>2922</v>
      </c>
    </row>
    <row r="974" spans="1:1" x14ac:dyDescent="0.25">
      <c r="A974" s="2" t="s">
        <v>2925</v>
      </c>
    </row>
    <row r="975" spans="1:1" x14ac:dyDescent="0.25">
      <c r="A975" s="2" t="s">
        <v>2928</v>
      </c>
    </row>
    <row r="976" spans="1:1" x14ac:dyDescent="0.25">
      <c r="A976" s="2" t="s">
        <v>2931</v>
      </c>
    </row>
    <row r="977" spans="1:1" x14ac:dyDescent="0.25">
      <c r="A977" s="2" t="s">
        <v>2934</v>
      </c>
    </row>
    <row r="978" spans="1:1" x14ac:dyDescent="0.25">
      <c r="A978" s="2" t="s">
        <v>2937</v>
      </c>
    </row>
    <row r="979" spans="1:1" x14ac:dyDescent="0.25">
      <c r="A979" s="2" t="s">
        <v>2940</v>
      </c>
    </row>
    <row r="980" spans="1:1" x14ac:dyDescent="0.25">
      <c r="A980" s="2" t="s">
        <v>2943</v>
      </c>
    </row>
    <row r="981" spans="1:1" x14ac:dyDescent="0.25">
      <c r="A981" s="2" t="s">
        <v>2946</v>
      </c>
    </row>
    <row r="982" spans="1:1" x14ac:dyDescent="0.25">
      <c r="A982" s="2" t="s">
        <v>2949</v>
      </c>
    </row>
    <row r="983" spans="1:1" x14ac:dyDescent="0.25">
      <c r="A983" s="2" t="s">
        <v>2952</v>
      </c>
    </row>
    <row r="984" spans="1:1" x14ac:dyDescent="0.25">
      <c r="A984" s="2" t="s">
        <v>2955</v>
      </c>
    </row>
    <row r="985" spans="1:1" x14ac:dyDescent="0.25">
      <c r="A985" s="2" t="s">
        <v>2958</v>
      </c>
    </row>
    <row r="986" spans="1:1" x14ac:dyDescent="0.25">
      <c r="A986" s="2" t="s">
        <v>2961</v>
      </c>
    </row>
    <row r="987" spans="1:1" x14ac:dyDescent="0.25">
      <c r="A987" s="2" t="s">
        <v>2964</v>
      </c>
    </row>
    <row r="988" spans="1:1" x14ac:dyDescent="0.25">
      <c r="A988" s="2" t="s">
        <v>2967</v>
      </c>
    </row>
    <row r="989" spans="1:1" x14ac:dyDescent="0.25">
      <c r="A989" s="2" t="s">
        <v>2970</v>
      </c>
    </row>
    <row r="990" spans="1:1" x14ac:dyDescent="0.25">
      <c r="A990" s="2" t="s">
        <v>2973</v>
      </c>
    </row>
    <row r="991" spans="1:1" x14ac:dyDescent="0.25">
      <c r="A991" s="2" t="s">
        <v>2976</v>
      </c>
    </row>
    <row r="992" spans="1:1" x14ac:dyDescent="0.25">
      <c r="A992" s="2" t="s">
        <v>2979</v>
      </c>
    </row>
    <row r="993" spans="1:1" x14ac:dyDescent="0.25">
      <c r="A993" s="2" t="s">
        <v>2982</v>
      </c>
    </row>
    <row r="994" spans="1:1" x14ac:dyDescent="0.25">
      <c r="A994" s="2" t="s">
        <v>2985</v>
      </c>
    </row>
    <row r="995" spans="1:1" x14ac:dyDescent="0.25">
      <c r="A995" s="2" t="s">
        <v>2988</v>
      </c>
    </row>
    <row r="996" spans="1:1" x14ac:dyDescent="0.25">
      <c r="A996" s="2" t="s">
        <v>2991</v>
      </c>
    </row>
    <row r="997" spans="1:1" x14ac:dyDescent="0.25">
      <c r="A997" s="2" t="s">
        <v>2994</v>
      </c>
    </row>
    <row r="998" spans="1:1" x14ac:dyDescent="0.25">
      <c r="A998" s="2" t="s">
        <v>2997</v>
      </c>
    </row>
    <row r="999" spans="1:1" x14ac:dyDescent="0.25">
      <c r="A999" s="2" t="s">
        <v>3000</v>
      </c>
    </row>
    <row r="1000" spans="1:1" x14ac:dyDescent="0.25">
      <c r="A1000" s="2" t="s">
        <v>3003</v>
      </c>
    </row>
    <row r="1001" spans="1:1" x14ac:dyDescent="0.25">
      <c r="A1001" s="2" t="s">
        <v>3006</v>
      </c>
    </row>
    <row r="1002" spans="1:1" x14ac:dyDescent="0.25">
      <c r="A1002" s="2" t="s">
        <v>3009</v>
      </c>
    </row>
    <row r="1003" spans="1:1" x14ac:dyDescent="0.25">
      <c r="A1003" s="2" t="s">
        <v>3012</v>
      </c>
    </row>
    <row r="1004" spans="1:1" x14ac:dyDescent="0.25">
      <c r="A1004" s="2" t="s">
        <v>3015</v>
      </c>
    </row>
    <row r="1005" spans="1:1" x14ac:dyDescent="0.25">
      <c r="A1005" s="2" t="s">
        <v>3018</v>
      </c>
    </row>
    <row r="1006" spans="1:1" x14ac:dyDescent="0.25">
      <c r="A1006" s="2" t="s">
        <v>3021</v>
      </c>
    </row>
    <row r="1007" spans="1:1" x14ac:dyDescent="0.25">
      <c r="A1007" s="2" t="s">
        <v>3024</v>
      </c>
    </row>
    <row r="1008" spans="1:1" x14ac:dyDescent="0.25">
      <c r="A1008" s="2" t="s">
        <v>3027</v>
      </c>
    </row>
    <row r="1009" spans="1:1" x14ac:dyDescent="0.25">
      <c r="A1009" s="2" t="s">
        <v>3030</v>
      </c>
    </row>
    <row r="1010" spans="1:1" x14ac:dyDescent="0.25">
      <c r="A1010" s="2" t="s">
        <v>3033</v>
      </c>
    </row>
    <row r="1011" spans="1:1" x14ac:dyDescent="0.25">
      <c r="A1011" s="2" t="s">
        <v>3036</v>
      </c>
    </row>
    <row r="1012" spans="1:1" x14ac:dyDescent="0.25">
      <c r="A1012" s="2" t="s">
        <v>3039</v>
      </c>
    </row>
    <row r="1013" spans="1:1" x14ac:dyDescent="0.25">
      <c r="A1013" s="2" t="s">
        <v>3042</v>
      </c>
    </row>
    <row r="1014" spans="1:1" x14ac:dyDescent="0.25">
      <c r="A1014" s="2" t="s">
        <v>3045</v>
      </c>
    </row>
    <row r="1015" spans="1:1" x14ac:dyDescent="0.25">
      <c r="A1015" s="2" t="s">
        <v>3048</v>
      </c>
    </row>
    <row r="1016" spans="1:1" x14ac:dyDescent="0.25">
      <c r="A1016" s="2" t="s">
        <v>3051</v>
      </c>
    </row>
    <row r="1017" spans="1:1" x14ac:dyDescent="0.25">
      <c r="A1017" s="2" t="s">
        <v>3054</v>
      </c>
    </row>
    <row r="1018" spans="1:1" x14ac:dyDescent="0.25">
      <c r="A1018" s="2" t="s">
        <v>3057</v>
      </c>
    </row>
    <row r="1019" spans="1:1" x14ac:dyDescent="0.25">
      <c r="A1019" s="2" t="s">
        <v>3060</v>
      </c>
    </row>
    <row r="1020" spans="1:1" x14ac:dyDescent="0.25">
      <c r="A1020" s="2" t="s">
        <v>3063</v>
      </c>
    </row>
    <row r="1021" spans="1:1" x14ac:dyDescent="0.25">
      <c r="A1021" s="2" t="s">
        <v>3066</v>
      </c>
    </row>
    <row r="1022" spans="1:1" x14ac:dyDescent="0.25">
      <c r="A1022" s="2" t="s">
        <v>3069</v>
      </c>
    </row>
    <row r="1023" spans="1:1" x14ac:dyDescent="0.25">
      <c r="A1023" s="2" t="s">
        <v>3072</v>
      </c>
    </row>
    <row r="1024" spans="1:1" x14ac:dyDescent="0.25">
      <c r="A1024" s="2" t="s">
        <v>3075</v>
      </c>
    </row>
    <row r="1025" spans="1:1" x14ac:dyDescent="0.25">
      <c r="A1025" s="2" t="s">
        <v>3078</v>
      </c>
    </row>
    <row r="1026" spans="1:1" x14ac:dyDescent="0.25">
      <c r="A1026" s="2" t="s">
        <v>3081</v>
      </c>
    </row>
    <row r="1027" spans="1:1" x14ac:dyDescent="0.25">
      <c r="A1027" s="2" t="s">
        <v>3084</v>
      </c>
    </row>
    <row r="1028" spans="1:1" x14ac:dyDescent="0.25">
      <c r="A1028" s="2" t="s">
        <v>3087</v>
      </c>
    </row>
    <row r="1029" spans="1:1" x14ac:dyDescent="0.25">
      <c r="A1029" s="2" t="s">
        <v>3090</v>
      </c>
    </row>
    <row r="1030" spans="1:1" x14ac:dyDescent="0.25">
      <c r="A1030" s="2" t="s">
        <v>3093</v>
      </c>
    </row>
    <row r="1031" spans="1:1" x14ac:dyDescent="0.25">
      <c r="A1031" s="2" t="s">
        <v>3096</v>
      </c>
    </row>
    <row r="1032" spans="1:1" x14ac:dyDescent="0.25">
      <c r="A1032" s="2" t="s">
        <v>3099</v>
      </c>
    </row>
    <row r="1033" spans="1:1" x14ac:dyDescent="0.25">
      <c r="A1033" s="2" t="s">
        <v>3102</v>
      </c>
    </row>
    <row r="1034" spans="1:1" x14ac:dyDescent="0.25">
      <c r="A1034" s="2" t="s">
        <v>3105</v>
      </c>
    </row>
    <row r="1035" spans="1:1" x14ac:dyDescent="0.25">
      <c r="A1035" s="2" t="s">
        <v>3108</v>
      </c>
    </row>
    <row r="1036" spans="1:1" x14ac:dyDescent="0.25">
      <c r="A1036" s="2" t="s">
        <v>3111</v>
      </c>
    </row>
    <row r="1037" spans="1:1" x14ac:dyDescent="0.25">
      <c r="A1037" s="2" t="s">
        <v>3114</v>
      </c>
    </row>
    <row r="1038" spans="1:1" x14ac:dyDescent="0.25">
      <c r="A1038" s="2" t="s">
        <v>3117</v>
      </c>
    </row>
    <row r="1039" spans="1:1" x14ac:dyDescent="0.25">
      <c r="A1039" s="2" t="s">
        <v>3120</v>
      </c>
    </row>
    <row r="1040" spans="1:1" x14ac:dyDescent="0.25">
      <c r="A1040" s="2" t="s">
        <v>3123</v>
      </c>
    </row>
    <row r="1041" spans="1:1" x14ac:dyDescent="0.25">
      <c r="A1041" s="2" t="s">
        <v>3126</v>
      </c>
    </row>
    <row r="1042" spans="1:1" x14ac:dyDescent="0.25">
      <c r="A1042" s="2" t="s">
        <v>3129</v>
      </c>
    </row>
    <row r="1043" spans="1:1" x14ac:dyDescent="0.25">
      <c r="A1043" s="2" t="s">
        <v>3132</v>
      </c>
    </row>
    <row r="1044" spans="1:1" x14ac:dyDescent="0.25">
      <c r="A1044" s="2" t="s">
        <v>3135</v>
      </c>
    </row>
    <row r="1045" spans="1:1" x14ac:dyDescent="0.25">
      <c r="A1045" s="2" t="s">
        <v>3138</v>
      </c>
    </row>
    <row r="1046" spans="1:1" x14ac:dyDescent="0.25">
      <c r="A1046" s="2" t="s">
        <v>3141</v>
      </c>
    </row>
    <row r="1047" spans="1:1" x14ac:dyDescent="0.25">
      <c r="A1047" s="2" t="s">
        <v>3144</v>
      </c>
    </row>
    <row r="1048" spans="1:1" x14ac:dyDescent="0.25">
      <c r="A1048" s="2" t="s">
        <v>3147</v>
      </c>
    </row>
    <row r="1049" spans="1:1" x14ac:dyDescent="0.25">
      <c r="A1049" s="2" t="s">
        <v>3150</v>
      </c>
    </row>
    <row r="1050" spans="1:1" x14ac:dyDescent="0.25">
      <c r="A1050" s="2" t="s">
        <v>3153</v>
      </c>
    </row>
    <row r="1051" spans="1:1" x14ac:dyDescent="0.25">
      <c r="A1051" s="2" t="s">
        <v>3156</v>
      </c>
    </row>
    <row r="1052" spans="1:1" x14ac:dyDescent="0.25">
      <c r="A1052" s="2" t="s">
        <v>3159</v>
      </c>
    </row>
    <row r="1053" spans="1:1" x14ac:dyDescent="0.25">
      <c r="A1053" s="2" t="s">
        <v>3162</v>
      </c>
    </row>
    <row r="1054" spans="1:1" x14ac:dyDescent="0.25">
      <c r="A1054" s="2" t="s">
        <v>3165</v>
      </c>
    </row>
    <row r="1055" spans="1:1" x14ac:dyDescent="0.25">
      <c r="A1055" s="2" t="s">
        <v>3168</v>
      </c>
    </row>
    <row r="1056" spans="1:1" x14ac:dyDescent="0.25">
      <c r="A1056" s="2" t="s">
        <v>3171</v>
      </c>
    </row>
    <row r="1057" spans="1:1" x14ac:dyDescent="0.25">
      <c r="A1057" s="2" t="s">
        <v>3174</v>
      </c>
    </row>
    <row r="1058" spans="1:1" x14ac:dyDescent="0.25">
      <c r="A1058" s="2" t="s">
        <v>3177</v>
      </c>
    </row>
    <row r="1059" spans="1:1" x14ac:dyDescent="0.25">
      <c r="A1059" s="2" t="s">
        <v>3180</v>
      </c>
    </row>
    <row r="1060" spans="1:1" x14ac:dyDescent="0.25">
      <c r="A1060" s="2" t="s">
        <v>3183</v>
      </c>
    </row>
    <row r="1061" spans="1:1" x14ac:dyDescent="0.25">
      <c r="A1061" s="2" t="s">
        <v>3186</v>
      </c>
    </row>
    <row r="1062" spans="1:1" x14ac:dyDescent="0.25">
      <c r="A1062" s="2" t="s">
        <v>3189</v>
      </c>
    </row>
    <row r="1063" spans="1:1" x14ac:dyDescent="0.25">
      <c r="A1063" s="2" t="s">
        <v>3192</v>
      </c>
    </row>
    <row r="1064" spans="1:1" x14ac:dyDescent="0.25">
      <c r="A1064" s="2" t="s">
        <v>3195</v>
      </c>
    </row>
    <row r="1065" spans="1:1" x14ac:dyDescent="0.25">
      <c r="A1065" s="2" t="s">
        <v>3198</v>
      </c>
    </row>
    <row r="1066" spans="1:1" x14ac:dyDescent="0.25">
      <c r="A1066" s="2" t="s">
        <v>3201</v>
      </c>
    </row>
    <row r="1067" spans="1:1" x14ac:dyDescent="0.25">
      <c r="A1067" s="2" t="s">
        <v>3204</v>
      </c>
    </row>
    <row r="1068" spans="1:1" x14ac:dyDescent="0.25">
      <c r="A1068" s="2" t="s">
        <v>3207</v>
      </c>
    </row>
    <row r="1069" spans="1:1" x14ac:dyDescent="0.25">
      <c r="A1069" s="2" t="s">
        <v>3210</v>
      </c>
    </row>
    <row r="1070" spans="1:1" x14ac:dyDescent="0.25">
      <c r="A1070" s="2" t="s">
        <v>3213</v>
      </c>
    </row>
    <row r="1071" spans="1:1" x14ac:dyDescent="0.25">
      <c r="A1071" s="2" t="s">
        <v>3216</v>
      </c>
    </row>
    <row r="1072" spans="1:1" x14ac:dyDescent="0.25">
      <c r="A1072" s="2" t="s">
        <v>3219</v>
      </c>
    </row>
    <row r="1073" spans="1:1" x14ac:dyDescent="0.25">
      <c r="A1073" s="2" t="s">
        <v>3222</v>
      </c>
    </row>
    <row r="1074" spans="1:1" x14ac:dyDescent="0.25">
      <c r="A1074" s="2" t="s">
        <v>3225</v>
      </c>
    </row>
    <row r="1075" spans="1:1" x14ac:dyDescent="0.25">
      <c r="A1075" s="2" t="s">
        <v>3228</v>
      </c>
    </row>
    <row r="1076" spans="1:1" x14ac:dyDescent="0.25">
      <c r="A1076" s="2" t="s">
        <v>3231</v>
      </c>
    </row>
    <row r="1077" spans="1:1" x14ac:dyDescent="0.25">
      <c r="A1077" s="2" t="s">
        <v>3234</v>
      </c>
    </row>
    <row r="1078" spans="1:1" x14ac:dyDescent="0.25">
      <c r="A1078" s="2" t="s">
        <v>3237</v>
      </c>
    </row>
    <row r="1079" spans="1:1" x14ac:dyDescent="0.25">
      <c r="A1079" s="2" t="s">
        <v>3240</v>
      </c>
    </row>
    <row r="1080" spans="1:1" x14ac:dyDescent="0.25">
      <c r="A1080" s="2" t="s">
        <v>3243</v>
      </c>
    </row>
    <row r="1081" spans="1:1" x14ac:dyDescent="0.25">
      <c r="A1081" s="2" t="s">
        <v>3246</v>
      </c>
    </row>
    <row r="1082" spans="1:1" x14ac:dyDescent="0.25">
      <c r="A1082" s="2" t="s">
        <v>3249</v>
      </c>
    </row>
    <row r="1083" spans="1:1" x14ac:dyDescent="0.25">
      <c r="A1083" s="2" t="s">
        <v>3252</v>
      </c>
    </row>
    <row r="1084" spans="1:1" x14ac:dyDescent="0.25">
      <c r="A1084" s="2" t="s">
        <v>3255</v>
      </c>
    </row>
    <row r="1085" spans="1:1" x14ac:dyDescent="0.25">
      <c r="A1085" s="2" t="s">
        <v>3258</v>
      </c>
    </row>
    <row r="1086" spans="1:1" x14ac:dyDescent="0.25">
      <c r="A1086" s="2" t="s">
        <v>3261</v>
      </c>
    </row>
    <row r="1087" spans="1:1" x14ac:dyDescent="0.25">
      <c r="A1087" s="2" t="s">
        <v>3264</v>
      </c>
    </row>
    <row r="1088" spans="1:1" x14ac:dyDescent="0.25">
      <c r="A1088" s="2" t="s">
        <v>3267</v>
      </c>
    </row>
    <row r="1089" spans="1:1" x14ac:dyDescent="0.25">
      <c r="A1089" s="2" t="s">
        <v>3270</v>
      </c>
    </row>
    <row r="1090" spans="1:1" x14ac:dyDescent="0.25">
      <c r="A1090" s="2" t="s">
        <v>3273</v>
      </c>
    </row>
    <row r="1091" spans="1:1" x14ac:dyDescent="0.25">
      <c r="A1091" s="2" t="s">
        <v>3276</v>
      </c>
    </row>
    <row r="1092" spans="1:1" x14ac:dyDescent="0.25">
      <c r="A1092" s="2" t="s">
        <v>3279</v>
      </c>
    </row>
    <row r="1093" spans="1:1" x14ac:dyDescent="0.25">
      <c r="A1093" s="2" t="s">
        <v>3282</v>
      </c>
    </row>
    <row r="1094" spans="1:1" x14ac:dyDescent="0.25">
      <c r="A1094" s="2" t="s">
        <v>3285</v>
      </c>
    </row>
    <row r="1095" spans="1:1" x14ac:dyDescent="0.25">
      <c r="A1095" s="2" t="s">
        <v>3288</v>
      </c>
    </row>
    <row r="1096" spans="1:1" x14ac:dyDescent="0.25">
      <c r="A1096" s="2" t="s">
        <v>3291</v>
      </c>
    </row>
    <row r="1097" spans="1:1" x14ac:dyDescent="0.25">
      <c r="A1097" s="2" t="s">
        <v>3294</v>
      </c>
    </row>
    <row r="1098" spans="1:1" x14ac:dyDescent="0.25">
      <c r="A1098" s="2" t="s">
        <v>3297</v>
      </c>
    </row>
    <row r="1099" spans="1:1" x14ac:dyDescent="0.25">
      <c r="A1099" s="2" t="s">
        <v>3300</v>
      </c>
    </row>
    <row r="1100" spans="1:1" x14ac:dyDescent="0.25">
      <c r="A1100" s="2" t="s">
        <v>3303</v>
      </c>
    </row>
    <row r="1101" spans="1:1" x14ac:dyDescent="0.25">
      <c r="A1101" s="2" t="s">
        <v>3306</v>
      </c>
    </row>
    <row r="1102" spans="1:1" x14ac:dyDescent="0.25">
      <c r="A1102" s="2" t="s">
        <v>3309</v>
      </c>
    </row>
    <row r="1103" spans="1:1" x14ac:dyDescent="0.25">
      <c r="A1103" s="2" t="s">
        <v>3312</v>
      </c>
    </row>
    <row r="1104" spans="1:1" x14ac:dyDescent="0.25">
      <c r="A1104" s="2" t="s">
        <v>3315</v>
      </c>
    </row>
    <row r="1105" spans="1:1" x14ac:dyDescent="0.25">
      <c r="A1105" s="2" t="s">
        <v>3318</v>
      </c>
    </row>
    <row r="1106" spans="1:1" x14ac:dyDescent="0.25">
      <c r="A1106" s="2" t="s">
        <v>3321</v>
      </c>
    </row>
    <row r="1107" spans="1:1" x14ac:dyDescent="0.25">
      <c r="A1107" s="2" t="s">
        <v>3324</v>
      </c>
    </row>
    <row r="1108" spans="1:1" x14ac:dyDescent="0.25">
      <c r="A1108" s="2" t="s">
        <v>3327</v>
      </c>
    </row>
    <row r="1109" spans="1:1" x14ac:dyDescent="0.25">
      <c r="A1109" s="2" t="s">
        <v>3330</v>
      </c>
    </row>
    <row r="1110" spans="1:1" x14ac:dyDescent="0.25">
      <c r="A1110" s="2" t="s">
        <v>3333</v>
      </c>
    </row>
    <row r="1111" spans="1:1" x14ac:dyDescent="0.25">
      <c r="A1111" s="2" t="s">
        <v>3336</v>
      </c>
    </row>
    <row r="1112" spans="1:1" x14ac:dyDescent="0.25">
      <c r="A1112" s="2" t="s">
        <v>3339</v>
      </c>
    </row>
    <row r="1113" spans="1:1" x14ac:dyDescent="0.25">
      <c r="A1113" s="2" t="s">
        <v>3342</v>
      </c>
    </row>
    <row r="1114" spans="1:1" x14ac:dyDescent="0.25">
      <c r="A1114" s="2" t="s">
        <v>3345</v>
      </c>
    </row>
    <row r="1115" spans="1:1" x14ac:dyDescent="0.25">
      <c r="A1115" s="2" t="s">
        <v>3348</v>
      </c>
    </row>
    <row r="1116" spans="1:1" x14ac:dyDescent="0.25">
      <c r="A1116" s="2" t="s">
        <v>3351</v>
      </c>
    </row>
    <row r="1117" spans="1:1" x14ac:dyDescent="0.25">
      <c r="A1117" s="2" t="s">
        <v>3354</v>
      </c>
    </row>
    <row r="1118" spans="1:1" x14ac:dyDescent="0.25">
      <c r="A1118" s="2" t="s">
        <v>3357</v>
      </c>
    </row>
    <row r="1119" spans="1:1" x14ac:dyDescent="0.25">
      <c r="A1119" s="2" t="s">
        <v>3360</v>
      </c>
    </row>
    <row r="1120" spans="1:1" x14ac:dyDescent="0.25">
      <c r="A1120" s="2" t="s">
        <v>3363</v>
      </c>
    </row>
    <row r="1121" spans="1:1" x14ac:dyDescent="0.25">
      <c r="A1121" s="2" t="s">
        <v>3366</v>
      </c>
    </row>
    <row r="1122" spans="1:1" x14ac:dyDescent="0.25">
      <c r="A1122" s="2" t="s">
        <v>3369</v>
      </c>
    </row>
    <row r="1123" spans="1:1" x14ac:dyDescent="0.25">
      <c r="A1123" s="2" t="s">
        <v>3372</v>
      </c>
    </row>
    <row r="1124" spans="1:1" x14ac:dyDescent="0.25">
      <c r="A1124" s="2" t="s">
        <v>3375</v>
      </c>
    </row>
    <row r="1125" spans="1:1" x14ac:dyDescent="0.25">
      <c r="A1125" s="2" t="s">
        <v>3378</v>
      </c>
    </row>
    <row r="1126" spans="1:1" x14ac:dyDescent="0.25">
      <c r="A1126" s="2" t="s">
        <v>3381</v>
      </c>
    </row>
    <row r="1127" spans="1:1" x14ac:dyDescent="0.25">
      <c r="A1127" s="2" t="s">
        <v>3384</v>
      </c>
    </row>
    <row r="1128" spans="1:1" x14ac:dyDescent="0.25">
      <c r="A1128" s="2" t="s">
        <v>3387</v>
      </c>
    </row>
    <row r="1129" spans="1:1" x14ac:dyDescent="0.25">
      <c r="A1129" s="2" t="s">
        <v>3390</v>
      </c>
    </row>
    <row r="1130" spans="1:1" x14ac:dyDescent="0.25">
      <c r="A1130" s="2" t="s">
        <v>3393</v>
      </c>
    </row>
    <row r="1131" spans="1:1" x14ac:dyDescent="0.25">
      <c r="A1131" s="2" t="s">
        <v>3396</v>
      </c>
    </row>
    <row r="1132" spans="1:1" x14ac:dyDescent="0.25">
      <c r="A1132" s="2" t="s">
        <v>3399</v>
      </c>
    </row>
    <row r="1133" spans="1:1" x14ac:dyDescent="0.25">
      <c r="A1133" s="2" t="s">
        <v>3402</v>
      </c>
    </row>
    <row r="1134" spans="1:1" x14ac:dyDescent="0.25">
      <c r="A1134" s="2" t="s">
        <v>3405</v>
      </c>
    </row>
    <row r="1135" spans="1:1" x14ac:dyDescent="0.25">
      <c r="A1135" s="2" t="s">
        <v>3408</v>
      </c>
    </row>
    <row r="1136" spans="1:1" x14ac:dyDescent="0.25">
      <c r="A1136" s="2" t="s">
        <v>3411</v>
      </c>
    </row>
    <row r="1137" spans="1:1" x14ac:dyDescent="0.25">
      <c r="A1137" s="2" t="s">
        <v>3414</v>
      </c>
    </row>
    <row r="1138" spans="1:1" x14ac:dyDescent="0.25">
      <c r="A1138" s="2" t="s">
        <v>3417</v>
      </c>
    </row>
    <row r="1139" spans="1:1" x14ac:dyDescent="0.25">
      <c r="A1139" s="2" t="s">
        <v>3420</v>
      </c>
    </row>
    <row r="1140" spans="1:1" x14ac:dyDescent="0.25">
      <c r="A1140" s="2" t="s">
        <v>3423</v>
      </c>
    </row>
    <row r="1141" spans="1:1" x14ac:dyDescent="0.25">
      <c r="A1141" s="2" t="s">
        <v>3426</v>
      </c>
    </row>
    <row r="1142" spans="1:1" x14ac:dyDescent="0.25">
      <c r="A1142" s="2" t="s">
        <v>3429</v>
      </c>
    </row>
    <row r="1143" spans="1:1" x14ac:dyDescent="0.25">
      <c r="A1143" s="2" t="s">
        <v>3432</v>
      </c>
    </row>
    <row r="1144" spans="1:1" x14ac:dyDescent="0.25">
      <c r="A1144" s="2" t="s">
        <v>3435</v>
      </c>
    </row>
    <row r="1145" spans="1:1" x14ac:dyDescent="0.25">
      <c r="A1145" s="2" t="s">
        <v>3438</v>
      </c>
    </row>
    <row r="1146" spans="1:1" x14ac:dyDescent="0.25">
      <c r="A1146" s="2" t="s">
        <v>3441</v>
      </c>
    </row>
    <row r="1147" spans="1:1" x14ac:dyDescent="0.25">
      <c r="A1147" s="2" t="s">
        <v>3444</v>
      </c>
    </row>
    <row r="1148" spans="1:1" x14ac:dyDescent="0.25">
      <c r="A1148" s="2" t="s">
        <v>3447</v>
      </c>
    </row>
    <row r="1149" spans="1:1" x14ac:dyDescent="0.25">
      <c r="A1149" s="2" t="s">
        <v>3450</v>
      </c>
    </row>
    <row r="1150" spans="1:1" x14ac:dyDescent="0.25">
      <c r="A1150" s="2" t="s">
        <v>3453</v>
      </c>
    </row>
    <row r="1151" spans="1:1" x14ac:dyDescent="0.25">
      <c r="A1151" s="2" t="s">
        <v>3456</v>
      </c>
    </row>
    <row r="1152" spans="1:1" x14ac:dyDescent="0.25">
      <c r="A1152" s="2" t="s">
        <v>3459</v>
      </c>
    </row>
    <row r="1153" spans="1:1" x14ac:dyDescent="0.25">
      <c r="A1153" s="2" t="s">
        <v>3462</v>
      </c>
    </row>
    <row r="1154" spans="1:1" x14ac:dyDescent="0.25">
      <c r="A1154" s="2" t="s">
        <v>3465</v>
      </c>
    </row>
    <row r="1155" spans="1:1" x14ac:dyDescent="0.25">
      <c r="A1155" s="2" t="s">
        <v>3468</v>
      </c>
    </row>
    <row r="1156" spans="1:1" x14ac:dyDescent="0.25">
      <c r="A1156" s="2" t="s">
        <v>3471</v>
      </c>
    </row>
    <row r="1157" spans="1:1" x14ac:dyDescent="0.25">
      <c r="A1157" s="2" t="s">
        <v>3474</v>
      </c>
    </row>
    <row r="1158" spans="1:1" x14ac:dyDescent="0.25">
      <c r="A1158" s="2" t="s">
        <v>3477</v>
      </c>
    </row>
    <row r="1159" spans="1:1" x14ac:dyDescent="0.25">
      <c r="A1159" s="2" t="s">
        <v>3480</v>
      </c>
    </row>
    <row r="1160" spans="1:1" x14ac:dyDescent="0.25">
      <c r="A1160" s="2" t="s">
        <v>3483</v>
      </c>
    </row>
    <row r="1161" spans="1:1" x14ac:dyDescent="0.25">
      <c r="A1161" s="2" t="s">
        <v>3486</v>
      </c>
    </row>
    <row r="1162" spans="1:1" x14ac:dyDescent="0.25">
      <c r="A1162" s="2" t="s">
        <v>3489</v>
      </c>
    </row>
    <row r="1163" spans="1:1" x14ac:dyDescent="0.25">
      <c r="A1163" s="2" t="s">
        <v>3492</v>
      </c>
    </row>
    <row r="1164" spans="1:1" x14ac:dyDescent="0.25">
      <c r="A1164" s="2" t="s">
        <v>3495</v>
      </c>
    </row>
    <row r="1165" spans="1:1" x14ac:dyDescent="0.25">
      <c r="A1165" s="2" t="s">
        <v>3498</v>
      </c>
    </row>
    <row r="1166" spans="1:1" x14ac:dyDescent="0.25">
      <c r="A1166" s="2" t="s">
        <v>3501</v>
      </c>
    </row>
    <row r="1167" spans="1:1" x14ac:dyDescent="0.25">
      <c r="A1167" s="2" t="s">
        <v>3504</v>
      </c>
    </row>
    <row r="1168" spans="1:1" x14ac:dyDescent="0.25">
      <c r="A1168" s="2" t="s">
        <v>3507</v>
      </c>
    </row>
    <row r="1169" spans="1:1" x14ac:dyDescent="0.25">
      <c r="A1169" s="2" t="s">
        <v>3510</v>
      </c>
    </row>
    <row r="1170" spans="1:1" x14ac:dyDescent="0.25">
      <c r="A1170" s="2" t="s">
        <v>3513</v>
      </c>
    </row>
    <row r="1171" spans="1:1" x14ac:dyDescent="0.25">
      <c r="A1171" s="2" t="s">
        <v>3516</v>
      </c>
    </row>
    <row r="1172" spans="1:1" x14ac:dyDescent="0.25">
      <c r="A1172" s="2" t="s">
        <v>3519</v>
      </c>
    </row>
    <row r="1173" spans="1:1" x14ac:dyDescent="0.25">
      <c r="A1173" s="2" t="s">
        <v>3522</v>
      </c>
    </row>
    <row r="1174" spans="1:1" x14ac:dyDescent="0.25">
      <c r="A1174" s="2" t="s">
        <v>3525</v>
      </c>
    </row>
    <row r="1175" spans="1:1" x14ac:dyDescent="0.25">
      <c r="A1175" s="2" t="s">
        <v>3528</v>
      </c>
    </row>
    <row r="1176" spans="1:1" x14ac:dyDescent="0.25">
      <c r="A1176" s="2" t="s">
        <v>3531</v>
      </c>
    </row>
    <row r="1177" spans="1:1" x14ac:dyDescent="0.25">
      <c r="A1177" s="2" t="s">
        <v>3534</v>
      </c>
    </row>
    <row r="1178" spans="1:1" x14ac:dyDescent="0.25">
      <c r="A1178" s="2" t="s">
        <v>3537</v>
      </c>
    </row>
    <row r="1179" spans="1:1" x14ac:dyDescent="0.25">
      <c r="A1179" s="2" t="s">
        <v>3540</v>
      </c>
    </row>
    <row r="1180" spans="1:1" x14ac:dyDescent="0.25">
      <c r="A1180" s="2" t="s">
        <v>3543</v>
      </c>
    </row>
    <row r="1181" spans="1:1" x14ac:dyDescent="0.25">
      <c r="A1181" s="2" t="s">
        <v>3546</v>
      </c>
    </row>
    <row r="1182" spans="1:1" x14ac:dyDescent="0.25">
      <c r="A1182" s="2" t="s">
        <v>3549</v>
      </c>
    </row>
    <row r="1183" spans="1:1" x14ac:dyDescent="0.25">
      <c r="A1183" s="2" t="s">
        <v>3552</v>
      </c>
    </row>
    <row r="1184" spans="1:1" x14ac:dyDescent="0.25">
      <c r="A1184" s="2" t="s">
        <v>3555</v>
      </c>
    </row>
    <row r="1185" spans="1:1" x14ac:dyDescent="0.25">
      <c r="A1185" s="2" t="s">
        <v>3558</v>
      </c>
    </row>
    <row r="1186" spans="1:1" x14ac:dyDescent="0.25">
      <c r="A1186" s="2" t="s">
        <v>3561</v>
      </c>
    </row>
    <row r="1187" spans="1:1" x14ac:dyDescent="0.25">
      <c r="A1187" s="2" t="s">
        <v>3564</v>
      </c>
    </row>
    <row r="1188" spans="1:1" x14ac:dyDescent="0.25">
      <c r="A1188" s="2" t="s">
        <v>3567</v>
      </c>
    </row>
    <row r="1189" spans="1:1" x14ac:dyDescent="0.25">
      <c r="A1189" s="2" t="s">
        <v>3570</v>
      </c>
    </row>
    <row r="1190" spans="1:1" x14ac:dyDescent="0.25">
      <c r="A1190" s="2" t="s">
        <v>3573</v>
      </c>
    </row>
    <row r="1191" spans="1:1" x14ac:dyDescent="0.25">
      <c r="A1191" s="2" t="s">
        <v>3576</v>
      </c>
    </row>
    <row r="1192" spans="1:1" x14ac:dyDescent="0.25">
      <c r="A1192" s="2" t="s">
        <v>3579</v>
      </c>
    </row>
    <row r="1193" spans="1:1" x14ac:dyDescent="0.25">
      <c r="A1193" s="2" t="s">
        <v>3582</v>
      </c>
    </row>
    <row r="1194" spans="1:1" x14ac:dyDescent="0.25">
      <c r="A1194" s="2" t="s">
        <v>3585</v>
      </c>
    </row>
    <row r="1195" spans="1:1" x14ac:dyDescent="0.25">
      <c r="A1195" s="2" t="s">
        <v>3588</v>
      </c>
    </row>
    <row r="1196" spans="1:1" x14ac:dyDescent="0.25">
      <c r="A1196" s="2" t="s">
        <v>3591</v>
      </c>
    </row>
    <row r="1197" spans="1:1" x14ac:dyDescent="0.25">
      <c r="A1197" s="2" t="s">
        <v>3594</v>
      </c>
    </row>
    <row r="1198" spans="1:1" x14ac:dyDescent="0.25">
      <c r="A1198" s="2" t="s">
        <v>3597</v>
      </c>
    </row>
    <row r="1199" spans="1:1" x14ac:dyDescent="0.25">
      <c r="A1199" s="2" t="s">
        <v>3600</v>
      </c>
    </row>
    <row r="1200" spans="1:1" x14ac:dyDescent="0.25">
      <c r="A1200" s="2" t="s">
        <v>3603</v>
      </c>
    </row>
    <row r="1201" spans="1:1" x14ac:dyDescent="0.25">
      <c r="A1201" s="2" t="s">
        <v>3606</v>
      </c>
    </row>
    <row r="1202" spans="1:1" x14ac:dyDescent="0.25">
      <c r="A1202" s="2" t="s">
        <v>3609</v>
      </c>
    </row>
    <row r="1203" spans="1:1" x14ac:dyDescent="0.25">
      <c r="A1203" s="2" t="s">
        <v>3612</v>
      </c>
    </row>
    <row r="1204" spans="1:1" x14ac:dyDescent="0.25">
      <c r="A1204" s="2" t="s">
        <v>3615</v>
      </c>
    </row>
    <row r="1205" spans="1:1" x14ac:dyDescent="0.25">
      <c r="A1205" s="2" t="s">
        <v>3618</v>
      </c>
    </row>
    <row r="1206" spans="1:1" x14ac:dyDescent="0.25">
      <c r="A1206" s="2" t="s">
        <v>3621</v>
      </c>
    </row>
    <row r="1207" spans="1:1" x14ac:dyDescent="0.25">
      <c r="A1207" s="2" t="s">
        <v>3624</v>
      </c>
    </row>
    <row r="1208" spans="1:1" x14ac:dyDescent="0.25">
      <c r="A1208" s="2" t="s">
        <v>3627</v>
      </c>
    </row>
    <row r="1209" spans="1:1" x14ac:dyDescent="0.25">
      <c r="A1209" s="2" t="s">
        <v>3630</v>
      </c>
    </row>
    <row r="1210" spans="1:1" x14ac:dyDescent="0.25">
      <c r="A1210" s="2" t="s">
        <v>3633</v>
      </c>
    </row>
    <row r="1211" spans="1:1" x14ac:dyDescent="0.25">
      <c r="A1211" s="2" t="s">
        <v>3636</v>
      </c>
    </row>
    <row r="1212" spans="1:1" x14ac:dyDescent="0.25">
      <c r="A1212" s="2" t="s">
        <v>3639</v>
      </c>
    </row>
    <row r="1213" spans="1:1" x14ac:dyDescent="0.25">
      <c r="A1213" s="2" t="s">
        <v>3642</v>
      </c>
    </row>
    <row r="1214" spans="1:1" x14ac:dyDescent="0.25">
      <c r="A1214" s="2" t="s">
        <v>3645</v>
      </c>
    </row>
    <row r="1215" spans="1:1" x14ac:dyDescent="0.25">
      <c r="A1215" s="2" t="s">
        <v>3648</v>
      </c>
    </row>
    <row r="1216" spans="1:1" x14ac:dyDescent="0.25">
      <c r="A1216" s="2" t="s">
        <v>3651</v>
      </c>
    </row>
    <row r="1217" spans="1:1" x14ac:dyDescent="0.25">
      <c r="A1217" s="2" t="s">
        <v>3654</v>
      </c>
    </row>
    <row r="1218" spans="1:1" x14ac:dyDescent="0.25">
      <c r="A1218" s="2" t="s">
        <v>3657</v>
      </c>
    </row>
    <row r="1219" spans="1:1" x14ac:dyDescent="0.25">
      <c r="A1219" s="2" t="s">
        <v>3660</v>
      </c>
    </row>
    <row r="1220" spans="1:1" x14ac:dyDescent="0.25">
      <c r="A1220" s="2" t="s">
        <v>3663</v>
      </c>
    </row>
    <row r="1221" spans="1:1" x14ac:dyDescent="0.25">
      <c r="A1221" s="2" t="s">
        <v>3666</v>
      </c>
    </row>
    <row r="1222" spans="1:1" x14ac:dyDescent="0.25">
      <c r="A1222" s="2" t="s">
        <v>3669</v>
      </c>
    </row>
    <row r="1223" spans="1:1" x14ac:dyDescent="0.25">
      <c r="A1223" s="2" t="s">
        <v>3672</v>
      </c>
    </row>
    <row r="1224" spans="1:1" x14ac:dyDescent="0.25">
      <c r="A1224" s="2" t="s">
        <v>3675</v>
      </c>
    </row>
    <row r="1225" spans="1:1" x14ac:dyDescent="0.25">
      <c r="A1225" s="2" t="s">
        <v>3678</v>
      </c>
    </row>
    <row r="1226" spans="1:1" x14ac:dyDescent="0.25">
      <c r="A1226" s="2" t="s">
        <v>3681</v>
      </c>
    </row>
    <row r="1227" spans="1:1" x14ac:dyDescent="0.25">
      <c r="A1227" s="2" t="s">
        <v>3684</v>
      </c>
    </row>
    <row r="1228" spans="1:1" x14ac:dyDescent="0.25">
      <c r="A1228" s="2" t="s">
        <v>3687</v>
      </c>
    </row>
    <row r="1229" spans="1:1" x14ac:dyDescent="0.25">
      <c r="A1229" s="2" t="s">
        <v>3690</v>
      </c>
    </row>
    <row r="1230" spans="1:1" x14ac:dyDescent="0.25">
      <c r="A1230" s="2" t="s">
        <v>3693</v>
      </c>
    </row>
    <row r="1231" spans="1:1" x14ac:dyDescent="0.25">
      <c r="A1231" s="2" t="s">
        <v>3696</v>
      </c>
    </row>
    <row r="1232" spans="1:1" x14ac:dyDescent="0.25">
      <c r="A1232" s="2" t="s">
        <v>3699</v>
      </c>
    </row>
    <row r="1233" spans="1:1" x14ac:dyDescent="0.25">
      <c r="A1233" s="2" t="s">
        <v>3702</v>
      </c>
    </row>
    <row r="1234" spans="1:1" x14ac:dyDescent="0.25">
      <c r="A1234" s="2" t="s">
        <v>3705</v>
      </c>
    </row>
    <row r="1235" spans="1:1" x14ac:dyDescent="0.25">
      <c r="A1235" s="2" t="s">
        <v>3708</v>
      </c>
    </row>
    <row r="1236" spans="1:1" x14ac:dyDescent="0.25">
      <c r="A1236" s="2" t="s">
        <v>3711</v>
      </c>
    </row>
    <row r="1237" spans="1:1" x14ac:dyDescent="0.25">
      <c r="A1237" s="2" t="s">
        <v>3714</v>
      </c>
    </row>
    <row r="1238" spans="1:1" x14ac:dyDescent="0.25">
      <c r="A1238" s="2" t="s">
        <v>3717</v>
      </c>
    </row>
    <row r="1239" spans="1:1" x14ac:dyDescent="0.25">
      <c r="A1239" s="2" t="s">
        <v>3720</v>
      </c>
    </row>
    <row r="1240" spans="1:1" x14ac:dyDescent="0.25">
      <c r="A1240" s="2" t="s">
        <v>3723</v>
      </c>
    </row>
    <row r="1241" spans="1:1" x14ac:dyDescent="0.25">
      <c r="A1241" s="2" t="s">
        <v>3726</v>
      </c>
    </row>
    <row r="1242" spans="1:1" x14ac:dyDescent="0.25">
      <c r="A1242" s="2" t="s">
        <v>3729</v>
      </c>
    </row>
    <row r="1243" spans="1:1" x14ac:dyDescent="0.25">
      <c r="A1243" s="2" t="s">
        <v>3732</v>
      </c>
    </row>
    <row r="1244" spans="1:1" x14ac:dyDescent="0.25">
      <c r="A1244" s="2" t="s">
        <v>3735</v>
      </c>
    </row>
    <row r="1245" spans="1:1" x14ac:dyDescent="0.25">
      <c r="A1245" s="2" t="s">
        <v>3738</v>
      </c>
    </row>
    <row r="1246" spans="1:1" x14ac:dyDescent="0.25">
      <c r="A1246" s="2" t="s">
        <v>3741</v>
      </c>
    </row>
    <row r="1247" spans="1:1" x14ac:dyDescent="0.25">
      <c r="A1247" s="2" t="s">
        <v>3744</v>
      </c>
    </row>
    <row r="1248" spans="1:1" x14ac:dyDescent="0.25">
      <c r="A1248" s="2" t="s">
        <v>3747</v>
      </c>
    </row>
    <row r="1249" spans="1:1" x14ac:dyDescent="0.25">
      <c r="A1249" s="2" t="s">
        <v>3750</v>
      </c>
    </row>
    <row r="1250" spans="1:1" x14ac:dyDescent="0.25">
      <c r="A1250" s="2" t="s">
        <v>3753</v>
      </c>
    </row>
    <row r="1251" spans="1:1" x14ac:dyDescent="0.25">
      <c r="A1251" s="2" t="s">
        <v>3756</v>
      </c>
    </row>
    <row r="1252" spans="1:1" x14ac:dyDescent="0.25">
      <c r="A1252" s="2" t="s">
        <v>3759</v>
      </c>
    </row>
    <row r="1253" spans="1:1" x14ac:dyDescent="0.25">
      <c r="A1253" s="2" t="s">
        <v>3762</v>
      </c>
    </row>
    <row r="1254" spans="1:1" x14ac:dyDescent="0.25">
      <c r="A1254" s="2" t="s">
        <v>3765</v>
      </c>
    </row>
    <row r="1255" spans="1:1" x14ac:dyDescent="0.25">
      <c r="A1255" s="2" t="s">
        <v>3768</v>
      </c>
    </row>
    <row r="1256" spans="1:1" x14ac:dyDescent="0.25">
      <c r="A1256" s="2" t="s">
        <v>3771</v>
      </c>
    </row>
    <row r="1257" spans="1:1" x14ac:dyDescent="0.25">
      <c r="A1257" s="2" t="s">
        <v>3774</v>
      </c>
    </row>
    <row r="1258" spans="1:1" x14ac:dyDescent="0.25">
      <c r="A1258" s="2" t="s">
        <v>3777</v>
      </c>
    </row>
    <row r="1259" spans="1:1" x14ac:dyDescent="0.25">
      <c r="A1259" s="2" t="s">
        <v>3780</v>
      </c>
    </row>
    <row r="1260" spans="1:1" x14ac:dyDescent="0.25">
      <c r="A1260" s="2" t="s">
        <v>3783</v>
      </c>
    </row>
    <row r="1261" spans="1:1" x14ac:dyDescent="0.25">
      <c r="A1261" s="2" t="s">
        <v>3786</v>
      </c>
    </row>
    <row r="1262" spans="1:1" x14ac:dyDescent="0.25">
      <c r="A1262" s="2" t="s">
        <v>3789</v>
      </c>
    </row>
    <row r="1263" spans="1:1" x14ac:dyDescent="0.25">
      <c r="A1263" s="2" t="s">
        <v>3792</v>
      </c>
    </row>
    <row r="1264" spans="1:1" x14ac:dyDescent="0.25">
      <c r="A1264" s="2" t="s">
        <v>3795</v>
      </c>
    </row>
    <row r="1265" spans="1:1" x14ac:dyDescent="0.25">
      <c r="A1265" s="2" t="s">
        <v>3798</v>
      </c>
    </row>
    <row r="1266" spans="1:1" x14ac:dyDescent="0.25">
      <c r="A1266" s="2" t="s">
        <v>3801</v>
      </c>
    </row>
    <row r="1267" spans="1:1" x14ac:dyDescent="0.25">
      <c r="A1267" s="2" t="s">
        <v>3804</v>
      </c>
    </row>
    <row r="1268" spans="1:1" x14ac:dyDescent="0.25">
      <c r="A1268" s="2" t="s">
        <v>3807</v>
      </c>
    </row>
    <row r="1269" spans="1:1" x14ac:dyDescent="0.25">
      <c r="A1269" s="2" t="s">
        <v>3810</v>
      </c>
    </row>
    <row r="1270" spans="1:1" x14ac:dyDescent="0.25">
      <c r="A1270" s="2" t="s">
        <v>3813</v>
      </c>
    </row>
    <row r="1271" spans="1:1" x14ac:dyDescent="0.25">
      <c r="A1271" s="2" t="s">
        <v>3816</v>
      </c>
    </row>
    <row r="1272" spans="1:1" x14ac:dyDescent="0.25">
      <c r="A1272" s="2" t="s">
        <v>3819</v>
      </c>
    </row>
    <row r="1273" spans="1:1" x14ac:dyDescent="0.25">
      <c r="A1273" s="2" t="s">
        <v>3822</v>
      </c>
    </row>
    <row r="1274" spans="1:1" x14ac:dyDescent="0.25">
      <c r="A1274" s="2" t="s">
        <v>3825</v>
      </c>
    </row>
    <row r="1275" spans="1:1" x14ac:dyDescent="0.25">
      <c r="A1275" s="2" t="s">
        <v>3828</v>
      </c>
    </row>
    <row r="1276" spans="1:1" x14ac:dyDescent="0.25">
      <c r="A1276" s="2" t="s">
        <v>3831</v>
      </c>
    </row>
    <row r="1277" spans="1:1" x14ac:dyDescent="0.25">
      <c r="A1277" s="2" t="s">
        <v>3834</v>
      </c>
    </row>
    <row r="1278" spans="1:1" x14ac:dyDescent="0.25">
      <c r="A1278" s="2" t="s">
        <v>3837</v>
      </c>
    </row>
    <row r="1279" spans="1:1" x14ac:dyDescent="0.25">
      <c r="A1279" s="2" t="s">
        <v>3840</v>
      </c>
    </row>
    <row r="1280" spans="1:1" x14ac:dyDescent="0.25">
      <c r="A1280" s="2" t="s">
        <v>3843</v>
      </c>
    </row>
    <row r="1281" spans="1:1" x14ac:dyDescent="0.25">
      <c r="A1281" s="2" t="s">
        <v>3846</v>
      </c>
    </row>
    <row r="1282" spans="1:1" x14ac:dyDescent="0.25">
      <c r="A1282" s="2" t="s">
        <v>3849</v>
      </c>
    </row>
    <row r="1283" spans="1:1" x14ac:dyDescent="0.25">
      <c r="A1283" s="2" t="s">
        <v>3852</v>
      </c>
    </row>
    <row r="1284" spans="1:1" x14ac:dyDescent="0.25">
      <c r="A1284" s="2" t="s">
        <v>3855</v>
      </c>
    </row>
    <row r="1285" spans="1:1" x14ac:dyDescent="0.25">
      <c r="A1285" s="2" t="s">
        <v>3858</v>
      </c>
    </row>
    <row r="1286" spans="1:1" x14ac:dyDescent="0.25">
      <c r="A1286" s="2" t="s">
        <v>3861</v>
      </c>
    </row>
    <row r="1287" spans="1:1" x14ac:dyDescent="0.25">
      <c r="A1287" s="2" t="s">
        <v>3864</v>
      </c>
    </row>
    <row r="1288" spans="1:1" x14ac:dyDescent="0.25">
      <c r="A1288" s="2" t="s">
        <v>3867</v>
      </c>
    </row>
    <row r="1289" spans="1:1" x14ac:dyDescent="0.25">
      <c r="A1289" s="2" t="s">
        <v>3870</v>
      </c>
    </row>
    <row r="1290" spans="1:1" x14ac:dyDescent="0.25">
      <c r="A1290" s="2" t="s">
        <v>3873</v>
      </c>
    </row>
    <row r="1291" spans="1:1" x14ac:dyDescent="0.25">
      <c r="A1291" s="2" t="s">
        <v>3876</v>
      </c>
    </row>
    <row r="1292" spans="1:1" x14ac:dyDescent="0.25">
      <c r="A1292" s="2" t="s">
        <v>3879</v>
      </c>
    </row>
    <row r="1293" spans="1:1" x14ac:dyDescent="0.25">
      <c r="A1293" s="2" t="s">
        <v>3882</v>
      </c>
    </row>
    <row r="1294" spans="1:1" x14ac:dyDescent="0.25">
      <c r="A1294" s="2" t="s">
        <v>3885</v>
      </c>
    </row>
    <row r="1295" spans="1:1" x14ac:dyDescent="0.25">
      <c r="A1295" s="2" t="s">
        <v>3888</v>
      </c>
    </row>
    <row r="1296" spans="1:1" x14ac:dyDescent="0.25">
      <c r="A1296" s="2" t="s">
        <v>3891</v>
      </c>
    </row>
    <row r="1297" spans="1:1" x14ac:dyDescent="0.25">
      <c r="A1297" s="2" t="s">
        <v>3894</v>
      </c>
    </row>
    <row r="1298" spans="1:1" x14ac:dyDescent="0.25">
      <c r="A1298" s="2" t="s">
        <v>3897</v>
      </c>
    </row>
    <row r="1299" spans="1:1" x14ac:dyDescent="0.25">
      <c r="A1299" s="2" t="s">
        <v>3900</v>
      </c>
    </row>
    <row r="1300" spans="1:1" x14ac:dyDescent="0.25">
      <c r="A1300" s="2" t="s">
        <v>3903</v>
      </c>
    </row>
    <row r="1301" spans="1:1" x14ac:dyDescent="0.25">
      <c r="A1301" s="2" t="s">
        <v>3906</v>
      </c>
    </row>
    <row r="1302" spans="1:1" x14ac:dyDescent="0.25">
      <c r="A1302" s="2" t="s">
        <v>3909</v>
      </c>
    </row>
    <row r="1303" spans="1:1" x14ac:dyDescent="0.25">
      <c r="A1303" s="2" t="s">
        <v>3912</v>
      </c>
    </row>
    <row r="1304" spans="1:1" x14ac:dyDescent="0.25">
      <c r="A1304" s="2" t="s">
        <v>3915</v>
      </c>
    </row>
    <row r="1305" spans="1:1" x14ac:dyDescent="0.25">
      <c r="A1305" s="2" t="s">
        <v>3918</v>
      </c>
    </row>
    <row r="1306" spans="1:1" x14ac:dyDescent="0.25">
      <c r="A1306" s="2" t="s">
        <v>3921</v>
      </c>
    </row>
    <row r="1307" spans="1:1" x14ac:dyDescent="0.25">
      <c r="A1307" s="2" t="s">
        <v>3924</v>
      </c>
    </row>
    <row r="1308" spans="1:1" x14ac:dyDescent="0.25">
      <c r="A1308" s="2" t="s">
        <v>3927</v>
      </c>
    </row>
    <row r="1309" spans="1:1" x14ac:dyDescent="0.25">
      <c r="A1309" s="2" t="s">
        <v>3930</v>
      </c>
    </row>
    <row r="1310" spans="1:1" x14ac:dyDescent="0.25">
      <c r="A1310" s="2" t="s">
        <v>3933</v>
      </c>
    </row>
    <row r="1311" spans="1:1" x14ac:dyDescent="0.25">
      <c r="A1311" s="2" t="s">
        <v>3936</v>
      </c>
    </row>
    <row r="1312" spans="1:1" x14ac:dyDescent="0.25">
      <c r="A1312" s="2" t="s">
        <v>3939</v>
      </c>
    </row>
    <row r="1313" spans="1:1" x14ac:dyDescent="0.25">
      <c r="A1313" s="2" t="s">
        <v>3942</v>
      </c>
    </row>
    <row r="1314" spans="1:1" x14ac:dyDescent="0.25">
      <c r="A1314" s="2" t="s">
        <v>3945</v>
      </c>
    </row>
    <row r="1315" spans="1:1" x14ac:dyDescent="0.25">
      <c r="A1315" s="2" t="s">
        <v>3948</v>
      </c>
    </row>
    <row r="1316" spans="1:1" x14ac:dyDescent="0.25">
      <c r="A1316" s="2" t="s">
        <v>3951</v>
      </c>
    </row>
    <row r="1317" spans="1:1" x14ac:dyDescent="0.25">
      <c r="A1317" s="2" t="s">
        <v>3954</v>
      </c>
    </row>
    <row r="1318" spans="1:1" x14ac:dyDescent="0.25">
      <c r="A1318" s="2" t="s">
        <v>3957</v>
      </c>
    </row>
    <row r="1319" spans="1:1" x14ac:dyDescent="0.25">
      <c r="A1319" s="2" t="s">
        <v>3960</v>
      </c>
    </row>
    <row r="1320" spans="1:1" x14ac:dyDescent="0.25">
      <c r="A1320" s="2" t="s">
        <v>3963</v>
      </c>
    </row>
    <row r="1321" spans="1:1" x14ac:dyDescent="0.25">
      <c r="A1321" s="2" t="s">
        <v>3966</v>
      </c>
    </row>
    <row r="1322" spans="1:1" x14ac:dyDescent="0.25">
      <c r="A1322" s="2" t="s">
        <v>3969</v>
      </c>
    </row>
    <row r="1323" spans="1:1" x14ac:dyDescent="0.25">
      <c r="A1323" s="2" t="s">
        <v>3972</v>
      </c>
    </row>
    <row r="1324" spans="1:1" x14ac:dyDescent="0.25">
      <c r="A1324" s="2" t="s">
        <v>3975</v>
      </c>
    </row>
    <row r="1325" spans="1:1" x14ac:dyDescent="0.25">
      <c r="A1325" s="2" t="s">
        <v>3978</v>
      </c>
    </row>
    <row r="1326" spans="1:1" x14ac:dyDescent="0.25">
      <c r="A1326" s="2" t="s">
        <v>3981</v>
      </c>
    </row>
    <row r="1327" spans="1:1" x14ac:dyDescent="0.25">
      <c r="A1327" s="2" t="s">
        <v>3984</v>
      </c>
    </row>
    <row r="1328" spans="1:1" x14ac:dyDescent="0.25">
      <c r="A1328" s="2" t="s">
        <v>3987</v>
      </c>
    </row>
    <row r="1329" spans="1:1" x14ac:dyDescent="0.25">
      <c r="A1329" s="2" t="s">
        <v>3990</v>
      </c>
    </row>
    <row r="1330" spans="1:1" x14ac:dyDescent="0.25">
      <c r="A1330" s="2" t="s">
        <v>3993</v>
      </c>
    </row>
    <row r="1331" spans="1:1" x14ac:dyDescent="0.25">
      <c r="A1331" s="2" t="s">
        <v>3996</v>
      </c>
    </row>
    <row r="1332" spans="1:1" x14ac:dyDescent="0.25">
      <c r="A1332" s="2" t="s">
        <v>3999</v>
      </c>
    </row>
    <row r="1333" spans="1:1" x14ac:dyDescent="0.25">
      <c r="A1333" s="2" t="s">
        <v>4002</v>
      </c>
    </row>
    <row r="1334" spans="1:1" x14ac:dyDescent="0.25">
      <c r="A1334" s="2" t="s">
        <v>4005</v>
      </c>
    </row>
    <row r="1335" spans="1:1" x14ac:dyDescent="0.25">
      <c r="A1335" s="2" t="s">
        <v>4008</v>
      </c>
    </row>
    <row r="1336" spans="1:1" x14ac:dyDescent="0.25">
      <c r="A1336" s="2" t="s">
        <v>4011</v>
      </c>
    </row>
    <row r="1337" spans="1:1" x14ac:dyDescent="0.25">
      <c r="A1337" s="2" t="s">
        <v>4014</v>
      </c>
    </row>
    <row r="1338" spans="1:1" x14ac:dyDescent="0.25">
      <c r="A1338" s="2" t="s">
        <v>4017</v>
      </c>
    </row>
    <row r="1339" spans="1:1" x14ac:dyDescent="0.25">
      <c r="A1339" s="2" t="s">
        <v>4020</v>
      </c>
    </row>
    <row r="1340" spans="1:1" x14ac:dyDescent="0.25">
      <c r="A1340" s="2" t="s">
        <v>4023</v>
      </c>
    </row>
    <row r="1341" spans="1:1" x14ac:dyDescent="0.25">
      <c r="A1341" s="2" t="s">
        <v>4026</v>
      </c>
    </row>
    <row r="1342" spans="1:1" x14ac:dyDescent="0.25">
      <c r="A1342" s="2" t="s">
        <v>4029</v>
      </c>
    </row>
    <row r="1343" spans="1:1" x14ac:dyDescent="0.25">
      <c r="A1343" s="2" t="s">
        <v>4032</v>
      </c>
    </row>
    <row r="1344" spans="1:1" x14ac:dyDescent="0.25">
      <c r="A1344" s="2" t="s">
        <v>4035</v>
      </c>
    </row>
    <row r="1345" spans="1:1" x14ac:dyDescent="0.25">
      <c r="A1345" s="2" t="s">
        <v>4038</v>
      </c>
    </row>
    <row r="1346" spans="1:1" x14ac:dyDescent="0.25">
      <c r="A1346" s="2" t="s">
        <v>4041</v>
      </c>
    </row>
    <row r="1347" spans="1:1" x14ac:dyDescent="0.25">
      <c r="A1347" s="2" t="s">
        <v>4044</v>
      </c>
    </row>
    <row r="1348" spans="1:1" x14ac:dyDescent="0.25">
      <c r="A1348" s="2" t="s">
        <v>4047</v>
      </c>
    </row>
    <row r="1349" spans="1:1" x14ac:dyDescent="0.25">
      <c r="A1349" s="2" t="s">
        <v>4050</v>
      </c>
    </row>
    <row r="1350" spans="1:1" x14ac:dyDescent="0.25">
      <c r="A1350" s="2" t="s">
        <v>4053</v>
      </c>
    </row>
    <row r="1351" spans="1:1" x14ac:dyDescent="0.25">
      <c r="A1351" s="2" t="s">
        <v>4056</v>
      </c>
    </row>
    <row r="1352" spans="1:1" x14ac:dyDescent="0.25">
      <c r="A1352" s="2" t="s">
        <v>4059</v>
      </c>
    </row>
    <row r="1353" spans="1:1" x14ac:dyDescent="0.25">
      <c r="A1353" s="2" t="s">
        <v>4062</v>
      </c>
    </row>
    <row r="1354" spans="1:1" x14ac:dyDescent="0.25">
      <c r="A1354" s="2" t="s">
        <v>4065</v>
      </c>
    </row>
    <row r="1355" spans="1:1" x14ac:dyDescent="0.25">
      <c r="A1355" s="2" t="s">
        <v>4068</v>
      </c>
    </row>
    <row r="1356" spans="1:1" x14ac:dyDescent="0.25">
      <c r="A1356" s="2" t="s">
        <v>4071</v>
      </c>
    </row>
    <row r="1357" spans="1:1" x14ac:dyDescent="0.25">
      <c r="A1357" s="2" t="s">
        <v>4074</v>
      </c>
    </row>
    <row r="1358" spans="1:1" x14ac:dyDescent="0.25">
      <c r="A1358" s="2" t="s">
        <v>4077</v>
      </c>
    </row>
    <row r="1359" spans="1:1" x14ac:dyDescent="0.25">
      <c r="A1359" s="2" t="s">
        <v>4080</v>
      </c>
    </row>
    <row r="1360" spans="1:1" x14ac:dyDescent="0.25">
      <c r="A1360" s="2" t="s">
        <v>4083</v>
      </c>
    </row>
    <row r="1361" spans="1:1" x14ac:dyDescent="0.25">
      <c r="A1361" s="2" t="s">
        <v>4086</v>
      </c>
    </row>
    <row r="1362" spans="1:1" x14ac:dyDescent="0.25">
      <c r="A1362" s="2" t="s">
        <v>4089</v>
      </c>
    </row>
    <row r="1363" spans="1:1" x14ac:dyDescent="0.25">
      <c r="A1363" s="2" t="s">
        <v>4092</v>
      </c>
    </row>
    <row r="1364" spans="1:1" x14ac:dyDescent="0.25">
      <c r="A1364" s="2" t="s">
        <v>4095</v>
      </c>
    </row>
    <row r="1365" spans="1:1" x14ac:dyDescent="0.25">
      <c r="A1365" s="2" t="s">
        <v>4098</v>
      </c>
    </row>
    <row r="1366" spans="1:1" x14ac:dyDescent="0.25">
      <c r="A1366" s="2" t="s">
        <v>4101</v>
      </c>
    </row>
    <row r="1367" spans="1:1" x14ac:dyDescent="0.25">
      <c r="A1367" s="2" t="s">
        <v>4104</v>
      </c>
    </row>
    <row r="1368" spans="1:1" x14ac:dyDescent="0.25">
      <c r="A1368" s="2" t="s">
        <v>4107</v>
      </c>
    </row>
    <row r="1369" spans="1:1" x14ac:dyDescent="0.25">
      <c r="A1369" s="2" t="s">
        <v>4110</v>
      </c>
    </row>
    <row r="1370" spans="1:1" x14ac:dyDescent="0.25">
      <c r="A1370" s="2" t="s">
        <v>4113</v>
      </c>
    </row>
    <row r="1371" spans="1:1" x14ac:dyDescent="0.25">
      <c r="A1371" s="2" t="s">
        <v>4116</v>
      </c>
    </row>
    <row r="1372" spans="1:1" x14ac:dyDescent="0.25">
      <c r="A1372" s="2" t="s">
        <v>4119</v>
      </c>
    </row>
    <row r="1373" spans="1:1" x14ac:dyDescent="0.25">
      <c r="A1373" s="2" t="s">
        <v>4122</v>
      </c>
    </row>
    <row r="1374" spans="1:1" x14ac:dyDescent="0.25">
      <c r="A1374" s="2" t="s">
        <v>4125</v>
      </c>
    </row>
    <row r="1375" spans="1:1" x14ac:dyDescent="0.25">
      <c r="A1375" s="2" t="s">
        <v>4128</v>
      </c>
    </row>
    <row r="1376" spans="1:1" x14ac:dyDescent="0.25">
      <c r="A1376" s="2" t="s">
        <v>4131</v>
      </c>
    </row>
    <row r="1377" spans="1:1" x14ac:dyDescent="0.25">
      <c r="A1377" s="2" t="s">
        <v>4134</v>
      </c>
    </row>
    <row r="1378" spans="1:1" x14ac:dyDescent="0.25">
      <c r="A1378" s="2" t="s">
        <v>4137</v>
      </c>
    </row>
    <row r="1379" spans="1:1" x14ac:dyDescent="0.25">
      <c r="A1379" s="2" t="s">
        <v>4140</v>
      </c>
    </row>
    <row r="1380" spans="1:1" x14ac:dyDescent="0.25">
      <c r="A1380" s="2" t="s">
        <v>4143</v>
      </c>
    </row>
    <row r="1381" spans="1:1" x14ac:dyDescent="0.25">
      <c r="A1381" s="2" t="s">
        <v>4146</v>
      </c>
    </row>
    <row r="1382" spans="1:1" x14ac:dyDescent="0.25">
      <c r="A1382" s="2" t="s">
        <v>4149</v>
      </c>
    </row>
    <row r="1383" spans="1:1" x14ac:dyDescent="0.25">
      <c r="A1383" s="2" t="s">
        <v>4152</v>
      </c>
    </row>
    <row r="1384" spans="1:1" x14ac:dyDescent="0.25">
      <c r="A1384" s="2" t="s">
        <v>4155</v>
      </c>
    </row>
    <row r="1385" spans="1:1" x14ac:dyDescent="0.25">
      <c r="A1385" s="2" t="s">
        <v>4158</v>
      </c>
    </row>
    <row r="1386" spans="1:1" x14ac:dyDescent="0.25">
      <c r="A1386" s="2" t="s">
        <v>4161</v>
      </c>
    </row>
    <row r="1387" spans="1:1" x14ac:dyDescent="0.25">
      <c r="A1387" s="2" t="s">
        <v>4164</v>
      </c>
    </row>
    <row r="1388" spans="1:1" x14ac:dyDescent="0.25">
      <c r="A1388" s="2" t="s">
        <v>4167</v>
      </c>
    </row>
    <row r="1389" spans="1:1" x14ac:dyDescent="0.25">
      <c r="A1389" s="2" t="s">
        <v>4170</v>
      </c>
    </row>
    <row r="1390" spans="1:1" x14ac:dyDescent="0.25">
      <c r="A1390" s="2" t="s">
        <v>4173</v>
      </c>
    </row>
    <row r="1391" spans="1:1" x14ac:dyDescent="0.25">
      <c r="A1391" s="2" t="s">
        <v>4176</v>
      </c>
    </row>
    <row r="1392" spans="1:1" x14ac:dyDescent="0.25">
      <c r="A1392" s="2" t="s">
        <v>4179</v>
      </c>
    </row>
    <row r="1393" spans="1:1" x14ac:dyDescent="0.25">
      <c r="A1393" s="2" t="s">
        <v>4182</v>
      </c>
    </row>
    <row r="1394" spans="1:1" x14ac:dyDescent="0.25">
      <c r="A1394" s="2" t="s">
        <v>4185</v>
      </c>
    </row>
    <row r="1395" spans="1:1" x14ac:dyDescent="0.25">
      <c r="A1395" s="2" t="s">
        <v>4188</v>
      </c>
    </row>
    <row r="1396" spans="1:1" x14ac:dyDescent="0.25">
      <c r="A1396" s="2" t="s">
        <v>4191</v>
      </c>
    </row>
    <row r="1397" spans="1:1" x14ac:dyDescent="0.25">
      <c r="A1397" s="2" t="s">
        <v>4194</v>
      </c>
    </row>
    <row r="1398" spans="1:1" x14ac:dyDescent="0.25">
      <c r="A1398" s="2" t="s">
        <v>4197</v>
      </c>
    </row>
    <row r="1399" spans="1:1" x14ac:dyDescent="0.25">
      <c r="A1399" s="2" t="s">
        <v>4200</v>
      </c>
    </row>
    <row r="1400" spans="1:1" x14ac:dyDescent="0.25">
      <c r="A1400" s="2" t="s">
        <v>4203</v>
      </c>
    </row>
    <row r="1401" spans="1:1" x14ac:dyDescent="0.25">
      <c r="A1401" s="2" t="s">
        <v>4206</v>
      </c>
    </row>
    <row r="1402" spans="1:1" x14ac:dyDescent="0.25">
      <c r="A1402" s="2" t="s">
        <v>4209</v>
      </c>
    </row>
    <row r="1403" spans="1:1" x14ac:dyDescent="0.25">
      <c r="A1403" s="2" t="s">
        <v>4212</v>
      </c>
    </row>
    <row r="1404" spans="1:1" x14ac:dyDescent="0.25">
      <c r="A1404" s="2" t="s">
        <v>4215</v>
      </c>
    </row>
    <row r="1405" spans="1:1" x14ac:dyDescent="0.25">
      <c r="A1405" s="2" t="s">
        <v>4218</v>
      </c>
    </row>
    <row r="1406" spans="1:1" x14ac:dyDescent="0.25">
      <c r="A1406" s="2" t="s">
        <v>4221</v>
      </c>
    </row>
    <row r="1407" spans="1:1" x14ac:dyDescent="0.25">
      <c r="A1407" s="2" t="s">
        <v>4224</v>
      </c>
    </row>
    <row r="1408" spans="1:1" x14ac:dyDescent="0.25">
      <c r="A1408" s="2" t="s">
        <v>4227</v>
      </c>
    </row>
    <row r="1409" spans="1:1" x14ac:dyDescent="0.25">
      <c r="A1409" s="2" t="s">
        <v>4230</v>
      </c>
    </row>
    <row r="1410" spans="1:1" x14ac:dyDescent="0.25">
      <c r="A1410" s="2" t="s">
        <v>4233</v>
      </c>
    </row>
    <row r="1411" spans="1:1" x14ac:dyDescent="0.25">
      <c r="A1411" s="2" t="s">
        <v>4236</v>
      </c>
    </row>
    <row r="1412" spans="1:1" x14ac:dyDescent="0.25">
      <c r="A1412" s="2" t="s">
        <v>4239</v>
      </c>
    </row>
    <row r="1413" spans="1:1" x14ac:dyDescent="0.25">
      <c r="A1413" s="2" t="s">
        <v>4242</v>
      </c>
    </row>
    <row r="1414" spans="1:1" x14ac:dyDescent="0.25">
      <c r="A1414" s="2" t="s">
        <v>4245</v>
      </c>
    </row>
    <row r="1415" spans="1:1" x14ac:dyDescent="0.25">
      <c r="A1415" s="2" t="s">
        <v>4248</v>
      </c>
    </row>
    <row r="1416" spans="1:1" x14ac:dyDescent="0.25">
      <c r="A1416" s="2" t="s">
        <v>4251</v>
      </c>
    </row>
    <row r="1417" spans="1:1" x14ac:dyDescent="0.25">
      <c r="A1417" s="2" t="s">
        <v>4254</v>
      </c>
    </row>
    <row r="1418" spans="1:1" x14ac:dyDescent="0.25">
      <c r="A1418" s="2" t="s">
        <v>4257</v>
      </c>
    </row>
    <row r="1419" spans="1:1" x14ac:dyDescent="0.25">
      <c r="A1419" s="2" t="s">
        <v>4260</v>
      </c>
    </row>
    <row r="1420" spans="1:1" x14ac:dyDescent="0.25">
      <c r="A1420" s="2" t="s">
        <v>4263</v>
      </c>
    </row>
    <row r="1421" spans="1:1" x14ac:dyDescent="0.25">
      <c r="A1421" s="2" t="s">
        <v>4266</v>
      </c>
    </row>
    <row r="1422" spans="1:1" x14ac:dyDescent="0.25">
      <c r="A1422" s="2" t="s">
        <v>4269</v>
      </c>
    </row>
    <row r="1423" spans="1:1" x14ac:dyDescent="0.25">
      <c r="A1423" s="2" t="s">
        <v>4272</v>
      </c>
    </row>
    <row r="1424" spans="1:1" x14ac:dyDescent="0.25">
      <c r="A1424" s="2" t="s">
        <v>4275</v>
      </c>
    </row>
    <row r="1425" spans="1:1" x14ac:dyDescent="0.25">
      <c r="A1425" s="2" t="s">
        <v>4278</v>
      </c>
    </row>
    <row r="1426" spans="1:1" x14ac:dyDescent="0.25">
      <c r="A1426" s="2" t="s">
        <v>4281</v>
      </c>
    </row>
    <row r="1427" spans="1:1" x14ac:dyDescent="0.25">
      <c r="A1427" s="2" t="s">
        <v>4284</v>
      </c>
    </row>
    <row r="1428" spans="1:1" x14ac:dyDescent="0.25">
      <c r="A1428" s="2" t="s">
        <v>4287</v>
      </c>
    </row>
    <row r="1429" spans="1:1" x14ac:dyDescent="0.25">
      <c r="A1429" s="2" t="s">
        <v>4290</v>
      </c>
    </row>
    <row r="1430" spans="1:1" x14ac:dyDescent="0.25">
      <c r="A1430" s="2" t="s">
        <v>4293</v>
      </c>
    </row>
    <row r="1431" spans="1:1" x14ac:dyDescent="0.25">
      <c r="A1431" s="2" t="s">
        <v>4296</v>
      </c>
    </row>
    <row r="1432" spans="1:1" x14ac:dyDescent="0.25">
      <c r="A1432" s="2" t="s">
        <v>4299</v>
      </c>
    </row>
    <row r="1433" spans="1:1" x14ac:dyDescent="0.25">
      <c r="A1433" s="2" t="s">
        <v>4302</v>
      </c>
    </row>
    <row r="1434" spans="1:1" x14ac:dyDescent="0.25">
      <c r="A1434" s="2" t="s">
        <v>4305</v>
      </c>
    </row>
    <row r="1435" spans="1:1" x14ac:dyDescent="0.25">
      <c r="A1435" s="2" t="s">
        <v>4308</v>
      </c>
    </row>
    <row r="1436" spans="1:1" x14ac:dyDescent="0.25">
      <c r="A1436" s="2" t="s">
        <v>4311</v>
      </c>
    </row>
    <row r="1437" spans="1:1" x14ac:dyDescent="0.25">
      <c r="A1437" s="2" t="s">
        <v>4314</v>
      </c>
    </row>
    <row r="1438" spans="1:1" x14ac:dyDescent="0.25">
      <c r="A1438" s="2" t="s">
        <v>4317</v>
      </c>
    </row>
    <row r="1439" spans="1:1" x14ac:dyDescent="0.25">
      <c r="A1439" s="2" t="s">
        <v>4320</v>
      </c>
    </row>
    <row r="1440" spans="1:1" x14ac:dyDescent="0.25">
      <c r="A1440" s="2" t="s">
        <v>4323</v>
      </c>
    </row>
    <row r="1441" spans="1:1" x14ac:dyDescent="0.25">
      <c r="A1441" s="2" t="s">
        <v>4326</v>
      </c>
    </row>
    <row r="1442" spans="1:1" x14ac:dyDescent="0.25">
      <c r="A1442" s="2" t="s">
        <v>4329</v>
      </c>
    </row>
    <row r="1443" spans="1:1" x14ac:dyDescent="0.25">
      <c r="A1443" s="2" t="s">
        <v>4332</v>
      </c>
    </row>
    <row r="1444" spans="1:1" x14ac:dyDescent="0.25">
      <c r="A1444" s="2" t="s">
        <v>4335</v>
      </c>
    </row>
    <row r="1445" spans="1:1" x14ac:dyDescent="0.25">
      <c r="A1445" s="2" t="s">
        <v>4338</v>
      </c>
    </row>
    <row r="1446" spans="1:1" x14ac:dyDescent="0.25">
      <c r="A1446" s="2" t="s">
        <v>4341</v>
      </c>
    </row>
    <row r="1447" spans="1:1" x14ac:dyDescent="0.25">
      <c r="A1447" s="2" t="s">
        <v>4344</v>
      </c>
    </row>
    <row r="1448" spans="1:1" x14ac:dyDescent="0.25">
      <c r="A1448" s="2" t="s">
        <v>4347</v>
      </c>
    </row>
    <row r="1449" spans="1:1" x14ac:dyDescent="0.25">
      <c r="A1449" s="2" t="s">
        <v>4350</v>
      </c>
    </row>
    <row r="1450" spans="1:1" x14ac:dyDescent="0.25">
      <c r="A1450" s="2" t="s">
        <v>4353</v>
      </c>
    </row>
    <row r="1451" spans="1:1" x14ac:dyDescent="0.25">
      <c r="A1451" s="2" t="s">
        <v>4356</v>
      </c>
    </row>
    <row r="1452" spans="1:1" x14ac:dyDescent="0.25">
      <c r="A1452" s="2" t="s">
        <v>4359</v>
      </c>
    </row>
    <row r="1453" spans="1:1" x14ac:dyDescent="0.25">
      <c r="A1453" s="2" t="s">
        <v>4362</v>
      </c>
    </row>
    <row r="1454" spans="1:1" x14ac:dyDescent="0.25">
      <c r="A1454" s="2" t="s">
        <v>4365</v>
      </c>
    </row>
    <row r="1455" spans="1:1" x14ac:dyDescent="0.25">
      <c r="A1455" s="2" t="s">
        <v>4368</v>
      </c>
    </row>
    <row r="1456" spans="1:1" x14ac:dyDescent="0.25">
      <c r="A1456" s="2" t="s">
        <v>4371</v>
      </c>
    </row>
    <row r="1457" spans="1:1" x14ac:dyDescent="0.25">
      <c r="A1457" s="2" t="s">
        <v>4374</v>
      </c>
    </row>
    <row r="1458" spans="1:1" x14ac:dyDescent="0.25">
      <c r="A1458" s="2" t="s">
        <v>4377</v>
      </c>
    </row>
    <row r="1459" spans="1:1" x14ac:dyDescent="0.25">
      <c r="A1459" s="2" t="s">
        <v>4380</v>
      </c>
    </row>
    <row r="1460" spans="1:1" x14ac:dyDescent="0.25">
      <c r="A1460" s="2" t="s">
        <v>4383</v>
      </c>
    </row>
    <row r="1461" spans="1:1" x14ac:dyDescent="0.25">
      <c r="A1461" s="2" t="s">
        <v>4386</v>
      </c>
    </row>
    <row r="1462" spans="1:1" x14ac:dyDescent="0.25">
      <c r="A1462" s="2" t="s">
        <v>4389</v>
      </c>
    </row>
    <row r="1463" spans="1:1" x14ac:dyDescent="0.25">
      <c r="A1463" s="2" t="s">
        <v>4392</v>
      </c>
    </row>
    <row r="1464" spans="1:1" x14ac:dyDescent="0.25">
      <c r="A1464" s="2" t="s">
        <v>4395</v>
      </c>
    </row>
    <row r="1465" spans="1:1" x14ac:dyDescent="0.25">
      <c r="A1465" s="2" t="s">
        <v>4398</v>
      </c>
    </row>
    <row r="1466" spans="1:1" x14ac:dyDescent="0.25">
      <c r="A1466" s="2" t="s">
        <v>4401</v>
      </c>
    </row>
    <row r="1467" spans="1:1" x14ac:dyDescent="0.25">
      <c r="A1467" s="2" t="s">
        <v>4404</v>
      </c>
    </row>
    <row r="1468" spans="1:1" x14ac:dyDescent="0.25">
      <c r="A1468" s="2" t="s">
        <v>4407</v>
      </c>
    </row>
    <row r="1469" spans="1:1" x14ac:dyDescent="0.25">
      <c r="A1469" s="2" t="s">
        <v>4410</v>
      </c>
    </row>
    <row r="1470" spans="1:1" x14ac:dyDescent="0.25">
      <c r="A1470" s="2" t="s">
        <v>4413</v>
      </c>
    </row>
    <row r="1471" spans="1:1" x14ac:dyDescent="0.25">
      <c r="A1471" s="2" t="s">
        <v>4416</v>
      </c>
    </row>
    <row r="1472" spans="1:1" x14ac:dyDescent="0.25">
      <c r="A1472" s="2" t="s">
        <v>4419</v>
      </c>
    </row>
    <row r="1473" spans="1:1" x14ac:dyDescent="0.25">
      <c r="A1473" s="2" t="s">
        <v>4422</v>
      </c>
    </row>
    <row r="1474" spans="1:1" x14ac:dyDescent="0.25">
      <c r="A1474" s="2" t="s">
        <v>4425</v>
      </c>
    </row>
    <row r="1475" spans="1:1" x14ac:dyDescent="0.25">
      <c r="A1475" s="2" t="s">
        <v>4428</v>
      </c>
    </row>
    <row r="1476" spans="1:1" x14ac:dyDescent="0.25">
      <c r="A1476" s="2" t="s">
        <v>4431</v>
      </c>
    </row>
    <row r="1477" spans="1:1" x14ac:dyDescent="0.25">
      <c r="A1477" s="2" t="s">
        <v>4434</v>
      </c>
    </row>
    <row r="1478" spans="1:1" x14ac:dyDescent="0.25">
      <c r="A1478" s="2" t="s">
        <v>4437</v>
      </c>
    </row>
    <row r="1479" spans="1:1" x14ac:dyDescent="0.25">
      <c r="A1479" s="2" t="s">
        <v>4440</v>
      </c>
    </row>
    <row r="1480" spans="1:1" x14ac:dyDescent="0.25">
      <c r="A1480" s="2" t="s">
        <v>4443</v>
      </c>
    </row>
    <row r="1481" spans="1:1" x14ac:dyDescent="0.25">
      <c r="A1481" s="2" t="s">
        <v>4446</v>
      </c>
    </row>
    <row r="1482" spans="1:1" x14ac:dyDescent="0.25">
      <c r="A1482" s="2" t="s">
        <v>4449</v>
      </c>
    </row>
    <row r="1483" spans="1:1" x14ac:dyDescent="0.25">
      <c r="A1483" s="2" t="s">
        <v>4452</v>
      </c>
    </row>
    <row r="1484" spans="1:1" x14ac:dyDescent="0.25">
      <c r="A1484" s="2" t="s">
        <v>4455</v>
      </c>
    </row>
    <row r="1485" spans="1:1" x14ac:dyDescent="0.25">
      <c r="A1485" s="2" t="s">
        <v>4458</v>
      </c>
    </row>
    <row r="1486" spans="1:1" x14ac:dyDescent="0.25">
      <c r="A1486" s="2" t="s">
        <v>4461</v>
      </c>
    </row>
    <row r="1487" spans="1:1" x14ac:dyDescent="0.25">
      <c r="A1487" s="2" t="s">
        <v>4464</v>
      </c>
    </row>
    <row r="1488" spans="1:1" x14ac:dyDescent="0.25">
      <c r="A1488" s="2" t="s">
        <v>4467</v>
      </c>
    </row>
    <row r="1489" spans="1:1" x14ac:dyDescent="0.25">
      <c r="A1489" s="2" t="s">
        <v>4470</v>
      </c>
    </row>
    <row r="1490" spans="1:1" x14ac:dyDescent="0.25">
      <c r="A1490" s="2" t="s">
        <v>4473</v>
      </c>
    </row>
    <row r="1491" spans="1:1" x14ac:dyDescent="0.25">
      <c r="A1491" s="2" t="s">
        <v>4476</v>
      </c>
    </row>
    <row r="1492" spans="1:1" x14ac:dyDescent="0.25">
      <c r="A1492" s="2" t="s">
        <v>4479</v>
      </c>
    </row>
    <row r="1493" spans="1:1" x14ac:dyDescent="0.25">
      <c r="A1493" s="2" t="s">
        <v>4482</v>
      </c>
    </row>
    <row r="1494" spans="1:1" x14ac:dyDescent="0.25">
      <c r="A1494" s="2" t="s">
        <v>4485</v>
      </c>
    </row>
    <row r="1495" spans="1:1" x14ac:dyDescent="0.25">
      <c r="A1495" s="2" t="s">
        <v>4488</v>
      </c>
    </row>
    <row r="1496" spans="1:1" x14ac:dyDescent="0.25">
      <c r="A1496" s="2" t="s">
        <v>4491</v>
      </c>
    </row>
    <row r="1497" spans="1:1" x14ac:dyDescent="0.25">
      <c r="A1497" s="2" t="s">
        <v>4494</v>
      </c>
    </row>
    <row r="1498" spans="1:1" x14ac:dyDescent="0.25">
      <c r="A1498" s="2" t="s">
        <v>4497</v>
      </c>
    </row>
    <row r="1499" spans="1:1" x14ac:dyDescent="0.25">
      <c r="A1499" s="2" t="s">
        <v>4500</v>
      </c>
    </row>
    <row r="1500" spans="1:1" x14ac:dyDescent="0.25">
      <c r="A1500" s="2" t="s">
        <v>4503</v>
      </c>
    </row>
    <row r="1501" spans="1:1" x14ac:dyDescent="0.25">
      <c r="A1501" s="2" t="s">
        <v>4506</v>
      </c>
    </row>
    <row r="1502" spans="1:1" x14ac:dyDescent="0.25">
      <c r="A1502" s="2" t="s">
        <v>4509</v>
      </c>
    </row>
    <row r="1503" spans="1:1" x14ac:dyDescent="0.25">
      <c r="A1503" s="2" t="s">
        <v>4512</v>
      </c>
    </row>
    <row r="1504" spans="1:1" x14ac:dyDescent="0.25">
      <c r="A1504" s="2" t="s">
        <v>4515</v>
      </c>
    </row>
    <row r="1505" spans="1:1" x14ac:dyDescent="0.25">
      <c r="A1505" s="2" t="s">
        <v>4518</v>
      </c>
    </row>
    <row r="1506" spans="1:1" x14ac:dyDescent="0.25">
      <c r="A1506" s="2" t="s">
        <v>4521</v>
      </c>
    </row>
    <row r="1507" spans="1:1" x14ac:dyDescent="0.25">
      <c r="A1507" s="2" t="s">
        <v>4524</v>
      </c>
    </row>
    <row r="1508" spans="1:1" x14ac:dyDescent="0.25">
      <c r="A1508" s="2" t="s">
        <v>4527</v>
      </c>
    </row>
    <row r="1509" spans="1:1" x14ac:dyDescent="0.25">
      <c r="A1509" s="2" t="s">
        <v>4530</v>
      </c>
    </row>
    <row r="1510" spans="1:1" x14ac:dyDescent="0.25">
      <c r="A1510" s="2" t="s">
        <v>4533</v>
      </c>
    </row>
    <row r="1511" spans="1:1" x14ac:dyDescent="0.25">
      <c r="A1511" s="2" t="s">
        <v>4536</v>
      </c>
    </row>
    <row r="1512" spans="1:1" x14ac:dyDescent="0.25">
      <c r="A1512" s="2" t="s">
        <v>4539</v>
      </c>
    </row>
    <row r="1513" spans="1:1" x14ac:dyDescent="0.25">
      <c r="A1513" s="2" t="s">
        <v>4542</v>
      </c>
    </row>
    <row r="1514" spans="1:1" x14ac:dyDescent="0.25">
      <c r="A1514" s="2" t="s">
        <v>4545</v>
      </c>
    </row>
    <row r="1515" spans="1:1" x14ac:dyDescent="0.25">
      <c r="A1515" s="2" t="s">
        <v>4548</v>
      </c>
    </row>
    <row r="1516" spans="1:1" x14ac:dyDescent="0.25">
      <c r="A1516" s="2" t="s">
        <v>4551</v>
      </c>
    </row>
    <row r="1517" spans="1:1" x14ac:dyDescent="0.25">
      <c r="A1517" s="2" t="s">
        <v>4554</v>
      </c>
    </row>
    <row r="1518" spans="1:1" x14ac:dyDescent="0.25">
      <c r="A1518" s="2" t="s">
        <v>4557</v>
      </c>
    </row>
    <row r="1519" spans="1:1" x14ac:dyDescent="0.25">
      <c r="A1519" s="2" t="s">
        <v>4560</v>
      </c>
    </row>
    <row r="1520" spans="1:1" x14ac:dyDescent="0.25">
      <c r="A1520" s="2" t="s">
        <v>4563</v>
      </c>
    </row>
    <row r="1521" spans="1:1" x14ac:dyDescent="0.25">
      <c r="A1521" s="2" t="s">
        <v>4566</v>
      </c>
    </row>
    <row r="1522" spans="1:1" x14ac:dyDescent="0.25">
      <c r="A1522" s="2" t="s">
        <v>4569</v>
      </c>
    </row>
    <row r="1523" spans="1:1" x14ac:dyDescent="0.25">
      <c r="A1523" s="2" t="s">
        <v>4572</v>
      </c>
    </row>
    <row r="1524" spans="1:1" x14ac:dyDescent="0.25">
      <c r="A1524" s="2" t="s">
        <v>4575</v>
      </c>
    </row>
    <row r="1525" spans="1:1" x14ac:dyDescent="0.25">
      <c r="A1525" s="2" t="s">
        <v>4578</v>
      </c>
    </row>
    <row r="1526" spans="1:1" x14ac:dyDescent="0.25">
      <c r="A1526" s="2" t="s">
        <v>4581</v>
      </c>
    </row>
    <row r="1527" spans="1:1" x14ac:dyDescent="0.25">
      <c r="A1527" s="2" t="s">
        <v>4584</v>
      </c>
    </row>
    <row r="1528" spans="1:1" x14ac:dyDescent="0.25">
      <c r="A1528" s="2" t="s">
        <v>4587</v>
      </c>
    </row>
    <row r="1529" spans="1:1" x14ac:dyDescent="0.25">
      <c r="A1529" s="2" t="s">
        <v>4590</v>
      </c>
    </row>
    <row r="1530" spans="1:1" x14ac:dyDescent="0.25">
      <c r="A1530" s="2" t="s">
        <v>4593</v>
      </c>
    </row>
    <row r="1531" spans="1:1" x14ac:dyDescent="0.25">
      <c r="A1531" s="2" t="s">
        <v>4596</v>
      </c>
    </row>
    <row r="1532" spans="1:1" x14ac:dyDescent="0.25">
      <c r="A1532" s="2" t="s">
        <v>4599</v>
      </c>
    </row>
    <row r="1533" spans="1:1" x14ac:dyDescent="0.25">
      <c r="A1533" s="2" t="s">
        <v>4602</v>
      </c>
    </row>
    <row r="1534" spans="1:1" x14ac:dyDescent="0.25">
      <c r="A1534" s="2" t="s">
        <v>4605</v>
      </c>
    </row>
    <row r="1535" spans="1:1" x14ac:dyDescent="0.25">
      <c r="A1535" s="2" t="s">
        <v>4608</v>
      </c>
    </row>
    <row r="1536" spans="1:1" x14ac:dyDescent="0.25">
      <c r="A1536" s="2" t="s">
        <v>4611</v>
      </c>
    </row>
    <row r="1537" spans="1:1" x14ac:dyDescent="0.25">
      <c r="A1537" s="2" t="s">
        <v>4614</v>
      </c>
    </row>
    <row r="1538" spans="1:1" x14ac:dyDescent="0.25">
      <c r="A1538" s="2" t="s">
        <v>4617</v>
      </c>
    </row>
    <row r="1539" spans="1:1" x14ac:dyDescent="0.25">
      <c r="A1539" s="2" t="s">
        <v>4620</v>
      </c>
    </row>
    <row r="1540" spans="1:1" x14ac:dyDescent="0.25">
      <c r="A1540" s="2" t="s">
        <v>4623</v>
      </c>
    </row>
    <row r="1541" spans="1:1" x14ac:dyDescent="0.25">
      <c r="A1541" s="2" t="s">
        <v>4626</v>
      </c>
    </row>
    <row r="1542" spans="1:1" x14ac:dyDescent="0.25">
      <c r="A1542" s="2" t="s">
        <v>4629</v>
      </c>
    </row>
    <row r="1543" spans="1:1" x14ac:dyDescent="0.25">
      <c r="A1543" s="2" t="s">
        <v>4632</v>
      </c>
    </row>
    <row r="1544" spans="1:1" x14ac:dyDescent="0.25">
      <c r="A1544" s="2" t="s">
        <v>4635</v>
      </c>
    </row>
    <row r="1545" spans="1:1" x14ac:dyDescent="0.25">
      <c r="A1545" s="2" t="s">
        <v>4638</v>
      </c>
    </row>
    <row r="1546" spans="1:1" x14ac:dyDescent="0.25">
      <c r="A1546" s="2" t="s">
        <v>4641</v>
      </c>
    </row>
    <row r="1547" spans="1:1" x14ac:dyDescent="0.25">
      <c r="A1547" s="2" t="s">
        <v>4644</v>
      </c>
    </row>
    <row r="1548" spans="1:1" x14ac:dyDescent="0.25">
      <c r="A1548" s="2" t="s">
        <v>4647</v>
      </c>
    </row>
    <row r="1549" spans="1:1" x14ac:dyDescent="0.25">
      <c r="A1549" s="2" t="s">
        <v>4650</v>
      </c>
    </row>
    <row r="1550" spans="1:1" x14ac:dyDescent="0.25">
      <c r="A1550" s="2" t="s">
        <v>4653</v>
      </c>
    </row>
    <row r="1551" spans="1:1" x14ac:dyDescent="0.25">
      <c r="A1551" s="2" t="s">
        <v>4656</v>
      </c>
    </row>
    <row r="1552" spans="1:1" x14ac:dyDescent="0.25">
      <c r="A1552" s="2" t="s">
        <v>4659</v>
      </c>
    </row>
    <row r="1553" spans="1:1" x14ac:dyDescent="0.25">
      <c r="A1553" s="2" t="s">
        <v>4662</v>
      </c>
    </row>
    <row r="1554" spans="1:1" x14ac:dyDescent="0.25">
      <c r="A1554" s="2" t="s">
        <v>4665</v>
      </c>
    </row>
    <row r="1555" spans="1:1" x14ac:dyDescent="0.25">
      <c r="A1555" s="2" t="s">
        <v>4668</v>
      </c>
    </row>
    <row r="1556" spans="1:1" x14ac:dyDescent="0.25">
      <c r="A1556" s="2" t="s">
        <v>4671</v>
      </c>
    </row>
    <row r="1557" spans="1:1" x14ac:dyDescent="0.25">
      <c r="A1557" s="2" t="s">
        <v>4674</v>
      </c>
    </row>
    <row r="1558" spans="1:1" x14ac:dyDescent="0.25">
      <c r="A1558" s="2" t="s">
        <v>4677</v>
      </c>
    </row>
    <row r="1559" spans="1:1" x14ac:dyDescent="0.25">
      <c r="A1559" s="2" t="s">
        <v>4680</v>
      </c>
    </row>
    <row r="1560" spans="1:1" x14ac:dyDescent="0.25">
      <c r="A1560" s="2" t="s">
        <v>4683</v>
      </c>
    </row>
    <row r="1561" spans="1:1" x14ac:dyDescent="0.25">
      <c r="A1561" s="2" t="s">
        <v>4686</v>
      </c>
    </row>
    <row r="1562" spans="1:1" x14ac:dyDescent="0.25">
      <c r="A1562" s="2" t="s">
        <v>4689</v>
      </c>
    </row>
    <row r="1563" spans="1:1" x14ac:dyDescent="0.25">
      <c r="A1563" s="2" t="s">
        <v>4692</v>
      </c>
    </row>
    <row r="1564" spans="1:1" x14ac:dyDescent="0.25">
      <c r="A1564" s="2" t="s">
        <v>4695</v>
      </c>
    </row>
    <row r="1565" spans="1:1" x14ac:dyDescent="0.25">
      <c r="A1565" s="2" t="s">
        <v>4698</v>
      </c>
    </row>
    <row r="1566" spans="1:1" x14ac:dyDescent="0.25">
      <c r="A1566" s="2" t="s">
        <v>4701</v>
      </c>
    </row>
    <row r="1567" spans="1:1" x14ac:dyDescent="0.25">
      <c r="A1567" s="2" t="s">
        <v>4704</v>
      </c>
    </row>
    <row r="1568" spans="1:1" x14ac:dyDescent="0.25">
      <c r="A1568" s="2" t="s">
        <v>4707</v>
      </c>
    </row>
    <row r="1569" spans="1:1" x14ac:dyDescent="0.25">
      <c r="A1569" s="2" t="s">
        <v>4710</v>
      </c>
    </row>
    <row r="1570" spans="1:1" x14ac:dyDescent="0.25">
      <c r="A1570" s="2" t="s">
        <v>4713</v>
      </c>
    </row>
    <row r="1571" spans="1:1" x14ac:dyDescent="0.25">
      <c r="A1571" s="2" t="s">
        <v>4716</v>
      </c>
    </row>
    <row r="1572" spans="1:1" x14ac:dyDescent="0.25">
      <c r="A1572" s="2" t="s">
        <v>4719</v>
      </c>
    </row>
    <row r="1573" spans="1:1" x14ac:dyDescent="0.25">
      <c r="A1573" s="2" t="s">
        <v>4722</v>
      </c>
    </row>
    <row r="1574" spans="1:1" x14ac:dyDescent="0.25">
      <c r="A1574" s="2" t="s">
        <v>4725</v>
      </c>
    </row>
    <row r="1575" spans="1:1" x14ac:dyDescent="0.25">
      <c r="A1575" s="2" t="s">
        <v>4728</v>
      </c>
    </row>
    <row r="1576" spans="1:1" x14ac:dyDescent="0.25">
      <c r="A1576" s="2" t="s">
        <v>4731</v>
      </c>
    </row>
    <row r="1577" spans="1:1" x14ac:dyDescent="0.25">
      <c r="A1577" s="2" t="s">
        <v>4734</v>
      </c>
    </row>
    <row r="1578" spans="1:1" x14ac:dyDescent="0.25">
      <c r="A1578" s="2" t="s">
        <v>4737</v>
      </c>
    </row>
    <row r="1579" spans="1:1" x14ac:dyDescent="0.25">
      <c r="A1579" s="2" t="s">
        <v>4740</v>
      </c>
    </row>
    <row r="1580" spans="1:1" x14ac:dyDescent="0.25">
      <c r="A1580" s="2" t="s">
        <v>4743</v>
      </c>
    </row>
    <row r="1581" spans="1:1" x14ac:dyDescent="0.25">
      <c r="A1581" s="2" t="s">
        <v>4746</v>
      </c>
    </row>
    <row r="1582" spans="1:1" x14ac:dyDescent="0.25">
      <c r="A1582" s="2" t="s">
        <v>4749</v>
      </c>
    </row>
    <row r="1583" spans="1:1" x14ac:dyDescent="0.25">
      <c r="A1583" s="2" t="s">
        <v>4752</v>
      </c>
    </row>
    <row r="1584" spans="1:1" x14ac:dyDescent="0.25">
      <c r="A1584" s="2" t="s">
        <v>4755</v>
      </c>
    </row>
    <row r="1585" spans="1:1" x14ac:dyDescent="0.25">
      <c r="A1585" s="2" t="s">
        <v>4758</v>
      </c>
    </row>
    <row r="1586" spans="1:1" x14ac:dyDescent="0.25">
      <c r="A1586" s="2" t="s">
        <v>4761</v>
      </c>
    </row>
    <row r="1587" spans="1:1" x14ac:dyDescent="0.25">
      <c r="A1587" s="2" t="s">
        <v>4764</v>
      </c>
    </row>
    <row r="1588" spans="1:1" x14ac:dyDescent="0.25">
      <c r="A1588" s="2" t="s">
        <v>4767</v>
      </c>
    </row>
    <row r="1589" spans="1:1" x14ac:dyDescent="0.25">
      <c r="A1589" s="2" t="s">
        <v>4770</v>
      </c>
    </row>
    <row r="1590" spans="1:1" x14ac:dyDescent="0.25">
      <c r="A1590" s="2" t="s">
        <v>4773</v>
      </c>
    </row>
    <row r="1591" spans="1:1" x14ac:dyDescent="0.25">
      <c r="A1591" s="2" t="s">
        <v>4776</v>
      </c>
    </row>
    <row r="1592" spans="1:1" x14ac:dyDescent="0.25">
      <c r="A1592" s="2" t="s">
        <v>4779</v>
      </c>
    </row>
    <row r="1593" spans="1:1" x14ac:dyDescent="0.25">
      <c r="A1593" s="2" t="s">
        <v>4782</v>
      </c>
    </row>
    <row r="1594" spans="1:1" x14ac:dyDescent="0.25">
      <c r="A1594" s="2" t="s">
        <v>4785</v>
      </c>
    </row>
    <row r="1595" spans="1:1" x14ac:dyDescent="0.25">
      <c r="A1595" s="2" t="s">
        <v>4788</v>
      </c>
    </row>
    <row r="1596" spans="1:1" x14ac:dyDescent="0.25">
      <c r="A1596" s="2" t="s">
        <v>4791</v>
      </c>
    </row>
    <row r="1597" spans="1:1" x14ac:dyDescent="0.25">
      <c r="A1597" s="2" t="s">
        <v>4794</v>
      </c>
    </row>
    <row r="1598" spans="1:1" x14ac:dyDescent="0.25">
      <c r="A1598" s="2" t="s">
        <v>4797</v>
      </c>
    </row>
    <row r="1599" spans="1:1" x14ac:dyDescent="0.25">
      <c r="A1599" s="2" t="s">
        <v>4800</v>
      </c>
    </row>
    <row r="1600" spans="1:1" x14ac:dyDescent="0.25">
      <c r="A1600" s="2" t="s">
        <v>4803</v>
      </c>
    </row>
    <row r="1601" spans="1:1" x14ac:dyDescent="0.25">
      <c r="A1601" s="2" t="s">
        <v>4806</v>
      </c>
    </row>
    <row r="1602" spans="1:1" x14ac:dyDescent="0.25">
      <c r="A1602" s="2" t="s">
        <v>4809</v>
      </c>
    </row>
    <row r="1603" spans="1:1" x14ac:dyDescent="0.25">
      <c r="A1603" s="2" t="s">
        <v>4812</v>
      </c>
    </row>
    <row r="1604" spans="1:1" x14ac:dyDescent="0.25">
      <c r="A1604" s="2" t="s">
        <v>4815</v>
      </c>
    </row>
    <row r="1605" spans="1:1" x14ac:dyDescent="0.25">
      <c r="A1605" s="2" t="s">
        <v>4818</v>
      </c>
    </row>
    <row r="1606" spans="1:1" x14ac:dyDescent="0.25">
      <c r="A1606" s="2" t="s">
        <v>4821</v>
      </c>
    </row>
    <row r="1607" spans="1:1" x14ac:dyDescent="0.25">
      <c r="A1607" s="2" t="s">
        <v>4824</v>
      </c>
    </row>
    <row r="1608" spans="1:1" x14ac:dyDescent="0.25">
      <c r="A1608" s="2" t="s">
        <v>4827</v>
      </c>
    </row>
    <row r="1609" spans="1:1" x14ac:dyDescent="0.25">
      <c r="A1609" s="2" t="s">
        <v>4830</v>
      </c>
    </row>
    <row r="1610" spans="1:1" x14ac:dyDescent="0.25">
      <c r="A1610" s="2" t="s">
        <v>4833</v>
      </c>
    </row>
    <row r="1611" spans="1:1" x14ac:dyDescent="0.25">
      <c r="A1611" s="2" t="s">
        <v>4836</v>
      </c>
    </row>
    <row r="1612" spans="1:1" x14ac:dyDescent="0.25">
      <c r="A1612" s="2" t="s">
        <v>4839</v>
      </c>
    </row>
    <row r="1613" spans="1:1" x14ac:dyDescent="0.25">
      <c r="A1613" s="2" t="s">
        <v>4842</v>
      </c>
    </row>
    <row r="1614" spans="1:1" x14ac:dyDescent="0.25">
      <c r="A1614" s="2" t="s">
        <v>4845</v>
      </c>
    </row>
    <row r="1615" spans="1:1" x14ac:dyDescent="0.25">
      <c r="A1615" s="2" t="s">
        <v>4848</v>
      </c>
    </row>
    <row r="1616" spans="1:1" x14ac:dyDescent="0.25">
      <c r="A1616" s="2" t="s">
        <v>4851</v>
      </c>
    </row>
    <row r="1617" spans="1:1" x14ac:dyDescent="0.25">
      <c r="A1617" s="2" t="s">
        <v>4854</v>
      </c>
    </row>
    <row r="1618" spans="1:1" x14ac:dyDescent="0.25">
      <c r="A1618" s="2" t="s">
        <v>4857</v>
      </c>
    </row>
    <row r="1619" spans="1:1" x14ac:dyDescent="0.25">
      <c r="A1619" s="2" t="s">
        <v>4860</v>
      </c>
    </row>
    <row r="1620" spans="1:1" x14ac:dyDescent="0.25">
      <c r="A1620" s="2" t="s">
        <v>4863</v>
      </c>
    </row>
    <row r="1621" spans="1:1" x14ac:dyDescent="0.25">
      <c r="A1621" s="2" t="s">
        <v>4866</v>
      </c>
    </row>
    <row r="1622" spans="1:1" x14ac:dyDescent="0.25">
      <c r="A1622" s="2" t="s">
        <v>4869</v>
      </c>
    </row>
    <row r="1623" spans="1:1" x14ac:dyDescent="0.25">
      <c r="A1623" s="2" t="s">
        <v>4872</v>
      </c>
    </row>
    <row r="1624" spans="1:1" x14ac:dyDescent="0.25">
      <c r="A1624" s="2" t="s">
        <v>4875</v>
      </c>
    </row>
    <row r="1625" spans="1:1" x14ac:dyDescent="0.25">
      <c r="A1625" s="2" t="s">
        <v>4878</v>
      </c>
    </row>
    <row r="1626" spans="1:1" x14ac:dyDescent="0.25">
      <c r="A1626" s="2" t="s">
        <v>4881</v>
      </c>
    </row>
    <row r="1627" spans="1:1" x14ac:dyDescent="0.25">
      <c r="A1627" s="2" t="s">
        <v>4884</v>
      </c>
    </row>
    <row r="1628" spans="1:1" x14ac:dyDescent="0.25">
      <c r="A1628" s="2" t="s">
        <v>4887</v>
      </c>
    </row>
    <row r="1629" spans="1:1" x14ac:dyDescent="0.25">
      <c r="A1629" s="2" t="s">
        <v>4890</v>
      </c>
    </row>
    <row r="1630" spans="1:1" x14ac:dyDescent="0.25">
      <c r="A1630" s="2" t="s">
        <v>4893</v>
      </c>
    </row>
    <row r="1631" spans="1:1" x14ac:dyDescent="0.25">
      <c r="A1631" s="2" t="s">
        <v>4896</v>
      </c>
    </row>
    <row r="1632" spans="1:1" x14ac:dyDescent="0.25">
      <c r="A1632" s="2" t="s">
        <v>4899</v>
      </c>
    </row>
    <row r="1633" spans="1:1" x14ac:dyDescent="0.25">
      <c r="A1633" s="2" t="s">
        <v>4902</v>
      </c>
    </row>
    <row r="1634" spans="1:1" x14ac:dyDescent="0.25">
      <c r="A1634" s="2" t="s">
        <v>4905</v>
      </c>
    </row>
    <row r="1635" spans="1:1" x14ac:dyDescent="0.25">
      <c r="A1635" s="2" t="s">
        <v>4908</v>
      </c>
    </row>
    <row r="1636" spans="1:1" x14ac:dyDescent="0.25">
      <c r="A1636" s="2" t="s">
        <v>4911</v>
      </c>
    </row>
    <row r="1637" spans="1:1" x14ac:dyDescent="0.25">
      <c r="A1637" s="2" t="s">
        <v>4914</v>
      </c>
    </row>
    <row r="1638" spans="1:1" x14ac:dyDescent="0.25">
      <c r="A1638" s="2" t="s">
        <v>4917</v>
      </c>
    </row>
    <row r="1639" spans="1:1" x14ac:dyDescent="0.25">
      <c r="A1639" s="2" t="s">
        <v>4920</v>
      </c>
    </row>
    <row r="1640" spans="1:1" x14ac:dyDescent="0.25">
      <c r="A1640" s="2" t="s">
        <v>4923</v>
      </c>
    </row>
    <row r="1641" spans="1:1" x14ac:dyDescent="0.25">
      <c r="A1641" s="2" t="s">
        <v>4926</v>
      </c>
    </row>
    <row r="1642" spans="1:1" x14ac:dyDescent="0.25">
      <c r="A1642" s="2" t="s">
        <v>4929</v>
      </c>
    </row>
    <row r="1643" spans="1:1" x14ac:dyDescent="0.25">
      <c r="A1643" s="2" t="s">
        <v>4932</v>
      </c>
    </row>
    <row r="1644" spans="1:1" x14ac:dyDescent="0.25">
      <c r="A1644" s="2" t="s">
        <v>4935</v>
      </c>
    </row>
    <row r="1645" spans="1:1" x14ac:dyDescent="0.25">
      <c r="A1645" s="2" t="s">
        <v>4938</v>
      </c>
    </row>
    <row r="1646" spans="1:1" x14ac:dyDescent="0.25">
      <c r="A1646" s="2" t="s">
        <v>4941</v>
      </c>
    </row>
    <row r="1647" spans="1:1" x14ac:dyDescent="0.25">
      <c r="A1647" s="2" t="s">
        <v>4944</v>
      </c>
    </row>
    <row r="1648" spans="1:1" x14ac:dyDescent="0.25">
      <c r="A1648" s="2" t="s">
        <v>4947</v>
      </c>
    </row>
    <row r="1649" spans="1:1" x14ac:dyDescent="0.25">
      <c r="A1649" s="2" t="s">
        <v>4950</v>
      </c>
    </row>
    <row r="1650" spans="1:1" x14ac:dyDescent="0.25">
      <c r="A1650" s="2" t="s">
        <v>4953</v>
      </c>
    </row>
    <row r="1651" spans="1:1" x14ac:dyDescent="0.25">
      <c r="A1651" s="2" t="s">
        <v>4956</v>
      </c>
    </row>
    <row r="1652" spans="1:1" x14ac:dyDescent="0.25">
      <c r="A1652" s="2" t="s">
        <v>4959</v>
      </c>
    </row>
    <row r="1653" spans="1:1" x14ac:dyDescent="0.25">
      <c r="A1653" s="2" t="s">
        <v>4962</v>
      </c>
    </row>
    <row r="1654" spans="1:1" x14ac:dyDescent="0.25">
      <c r="A1654" s="2" t="s">
        <v>4965</v>
      </c>
    </row>
    <row r="1655" spans="1:1" x14ac:dyDescent="0.25">
      <c r="A1655" s="2" t="s">
        <v>4968</v>
      </c>
    </row>
    <row r="1656" spans="1:1" x14ac:dyDescent="0.25">
      <c r="A1656" s="2" t="s">
        <v>4971</v>
      </c>
    </row>
    <row r="1657" spans="1:1" x14ac:dyDescent="0.25">
      <c r="A1657" s="2" t="s">
        <v>4974</v>
      </c>
    </row>
    <row r="1658" spans="1:1" x14ac:dyDescent="0.25">
      <c r="A1658" s="2" t="s">
        <v>4977</v>
      </c>
    </row>
    <row r="1659" spans="1:1" x14ac:dyDescent="0.25">
      <c r="A1659" s="2" t="s">
        <v>4980</v>
      </c>
    </row>
    <row r="1660" spans="1:1" x14ac:dyDescent="0.25">
      <c r="A1660" s="2" t="s">
        <v>4983</v>
      </c>
    </row>
    <row r="1661" spans="1:1" x14ac:dyDescent="0.25">
      <c r="A1661" s="2" t="s">
        <v>4986</v>
      </c>
    </row>
    <row r="1662" spans="1:1" x14ac:dyDescent="0.25">
      <c r="A1662" s="2" t="s">
        <v>4989</v>
      </c>
    </row>
    <row r="1663" spans="1:1" x14ac:dyDescent="0.25">
      <c r="A1663" s="2" t="s">
        <v>4992</v>
      </c>
    </row>
    <row r="1664" spans="1:1" x14ac:dyDescent="0.25">
      <c r="A1664" s="2" t="s">
        <v>4995</v>
      </c>
    </row>
    <row r="1665" spans="1:1" x14ac:dyDescent="0.25">
      <c r="A1665" s="2" t="s">
        <v>4998</v>
      </c>
    </row>
    <row r="1666" spans="1:1" x14ac:dyDescent="0.25">
      <c r="A1666" s="2" t="s">
        <v>5001</v>
      </c>
    </row>
    <row r="1667" spans="1:1" x14ac:dyDescent="0.25">
      <c r="A1667" s="2" t="s">
        <v>5004</v>
      </c>
    </row>
    <row r="1668" spans="1:1" x14ac:dyDescent="0.25">
      <c r="A1668" s="2" t="s">
        <v>5007</v>
      </c>
    </row>
    <row r="1669" spans="1:1" x14ac:dyDescent="0.25">
      <c r="A1669" s="2" t="s">
        <v>5010</v>
      </c>
    </row>
    <row r="1670" spans="1:1" x14ac:dyDescent="0.25">
      <c r="A1670" s="2" t="s">
        <v>5013</v>
      </c>
    </row>
    <row r="1671" spans="1:1" x14ac:dyDescent="0.25">
      <c r="A1671" s="2" t="s">
        <v>5016</v>
      </c>
    </row>
    <row r="1672" spans="1:1" x14ac:dyDescent="0.25">
      <c r="A1672" s="2" t="s">
        <v>5019</v>
      </c>
    </row>
    <row r="1673" spans="1:1" x14ac:dyDescent="0.25">
      <c r="A1673" s="2" t="s">
        <v>5022</v>
      </c>
    </row>
    <row r="1674" spans="1:1" x14ac:dyDescent="0.25">
      <c r="A1674" s="2" t="s">
        <v>5025</v>
      </c>
    </row>
    <row r="1675" spans="1:1" x14ac:dyDescent="0.25">
      <c r="A1675" s="2" t="s">
        <v>5028</v>
      </c>
    </row>
    <row r="1676" spans="1:1" x14ac:dyDescent="0.25">
      <c r="A1676" s="2" t="s">
        <v>5031</v>
      </c>
    </row>
    <row r="1677" spans="1:1" x14ac:dyDescent="0.25">
      <c r="A1677" s="2" t="s">
        <v>5034</v>
      </c>
    </row>
    <row r="1678" spans="1:1" x14ac:dyDescent="0.25">
      <c r="A1678" s="2" t="s">
        <v>5037</v>
      </c>
    </row>
    <row r="1679" spans="1:1" x14ac:dyDescent="0.25">
      <c r="A1679" s="2" t="s">
        <v>5040</v>
      </c>
    </row>
    <row r="1680" spans="1:1" x14ac:dyDescent="0.25">
      <c r="A1680" s="2" t="s">
        <v>5043</v>
      </c>
    </row>
    <row r="1681" spans="1:1" x14ac:dyDescent="0.25">
      <c r="A1681" s="2" t="s">
        <v>5046</v>
      </c>
    </row>
    <row r="1682" spans="1:1" x14ac:dyDescent="0.25">
      <c r="A1682" s="2" t="s">
        <v>5049</v>
      </c>
    </row>
    <row r="1683" spans="1:1" x14ac:dyDescent="0.25">
      <c r="A1683" s="2" t="s">
        <v>5052</v>
      </c>
    </row>
    <row r="1684" spans="1:1" x14ac:dyDescent="0.25">
      <c r="A1684" s="2" t="s">
        <v>5055</v>
      </c>
    </row>
    <row r="1685" spans="1:1" x14ac:dyDescent="0.25">
      <c r="A1685" s="2" t="s">
        <v>5058</v>
      </c>
    </row>
    <row r="1686" spans="1:1" x14ac:dyDescent="0.25">
      <c r="A1686" s="2" t="s">
        <v>5061</v>
      </c>
    </row>
    <row r="1687" spans="1:1" x14ac:dyDescent="0.25">
      <c r="A1687" s="2" t="s">
        <v>5064</v>
      </c>
    </row>
    <row r="1688" spans="1:1" x14ac:dyDescent="0.25">
      <c r="A1688" s="2" t="s">
        <v>5067</v>
      </c>
    </row>
    <row r="1689" spans="1:1" x14ac:dyDescent="0.25">
      <c r="A1689" s="2" t="s">
        <v>5070</v>
      </c>
    </row>
    <row r="1690" spans="1:1" x14ac:dyDescent="0.25">
      <c r="A1690" s="2" t="s">
        <v>5073</v>
      </c>
    </row>
    <row r="1691" spans="1:1" x14ac:dyDescent="0.25">
      <c r="A1691" s="2" t="s">
        <v>5076</v>
      </c>
    </row>
    <row r="1692" spans="1:1" x14ac:dyDescent="0.25">
      <c r="A1692" s="2" t="s">
        <v>5079</v>
      </c>
    </row>
    <row r="1693" spans="1:1" x14ac:dyDescent="0.25">
      <c r="A1693" s="2" t="s">
        <v>5082</v>
      </c>
    </row>
    <row r="1694" spans="1:1" x14ac:dyDescent="0.25">
      <c r="A1694" s="2" t="s">
        <v>5085</v>
      </c>
    </row>
    <row r="1695" spans="1:1" x14ac:dyDescent="0.25">
      <c r="A1695" s="2" t="s">
        <v>5088</v>
      </c>
    </row>
    <row r="1696" spans="1:1" x14ac:dyDescent="0.25">
      <c r="A1696" s="2" t="s">
        <v>5091</v>
      </c>
    </row>
    <row r="1697" spans="1:1" x14ac:dyDescent="0.25">
      <c r="A1697" s="2" t="s">
        <v>5094</v>
      </c>
    </row>
    <row r="1698" spans="1:1" x14ac:dyDescent="0.25">
      <c r="A1698" s="2" t="s">
        <v>5097</v>
      </c>
    </row>
    <row r="1699" spans="1:1" x14ac:dyDescent="0.25">
      <c r="A1699" s="2" t="s">
        <v>5100</v>
      </c>
    </row>
    <row r="1700" spans="1:1" x14ac:dyDescent="0.25">
      <c r="A1700" s="2" t="s">
        <v>5103</v>
      </c>
    </row>
    <row r="1701" spans="1:1" x14ac:dyDescent="0.25">
      <c r="A1701" s="2" t="s">
        <v>5106</v>
      </c>
    </row>
    <row r="1702" spans="1:1" x14ac:dyDescent="0.25">
      <c r="A1702" s="2" t="s">
        <v>5109</v>
      </c>
    </row>
    <row r="1703" spans="1:1" x14ac:dyDescent="0.25">
      <c r="A1703" s="2" t="s">
        <v>5112</v>
      </c>
    </row>
    <row r="1704" spans="1:1" x14ac:dyDescent="0.25">
      <c r="A1704" s="2" t="s">
        <v>5115</v>
      </c>
    </row>
    <row r="1705" spans="1:1" x14ac:dyDescent="0.25">
      <c r="A1705" s="2" t="s">
        <v>5118</v>
      </c>
    </row>
    <row r="1706" spans="1:1" x14ac:dyDescent="0.25">
      <c r="A1706" s="2" t="s">
        <v>5121</v>
      </c>
    </row>
    <row r="1707" spans="1:1" x14ac:dyDescent="0.25">
      <c r="A1707" s="2" t="s">
        <v>5124</v>
      </c>
    </row>
    <row r="1708" spans="1:1" x14ac:dyDescent="0.25">
      <c r="A1708" s="2" t="s">
        <v>5127</v>
      </c>
    </row>
    <row r="1709" spans="1:1" x14ac:dyDescent="0.25">
      <c r="A1709" s="2" t="s">
        <v>5130</v>
      </c>
    </row>
    <row r="1710" spans="1:1" x14ac:dyDescent="0.25">
      <c r="A1710" s="2" t="s">
        <v>5133</v>
      </c>
    </row>
    <row r="1711" spans="1:1" x14ac:dyDescent="0.25">
      <c r="A1711" s="2" t="s">
        <v>5136</v>
      </c>
    </row>
    <row r="1712" spans="1:1" x14ac:dyDescent="0.25">
      <c r="A1712" s="2" t="s">
        <v>5139</v>
      </c>
    </row>
    <row r="1713" spans="1:1" x14ac:dyDescent="0.25">
      <c r="A1713" s="2" t="s">
        <v>5142</v>
      </c>
    </row>
    <row r="1714" spans="1:1" x14ac:dyDescent="0.25">
      <c r="A1714" s="2" t="s">
        <v>5145</v>
      </c>
    </row>
    <row r="1715" spans="1:1" x14ac:dyDescent="0.25">
      <c r="A1715" s="2" t="s">
        <v>5148</v>
      </c>
    </row>
    <row r="1716" spans="1:1" x14ac:dyDescent="0.25">
      <c r="A1716" s="2" t="s">
        <v>5151</v>
      </c>
    </row>
    <row r="1717" spans="1:1" x14ac:dyDescent="0.25">
      <c r="A1717" s="2" t="s">
        <v>5154</v>
      </c>
    </row>
    <row r="1718" spans="1:1" x14ac:dyDescent="0.25">
      <c r="A1718" s="2" t="s">
        <v>5157</v>
      </c>
    </row>
    <row r="1719" spans="1:1" x14ac:dyDescent="0.25">
      <c r="A1719" s="2" t="s">
        <v>5160</v>
      </c>
    </row>
    <row r="1720" spans="1:1" x14ac:dyDescent="0.25">
      <c r="A1720" s="2" t="s">
        <v>5163</v>
      </c>
    </row>
    <row r="1721" spans="1:1" x14ac:dyDescent="0.25">
      <c r="A1721" s="2" t="s">
        <v>5166</v>
      </c>
    </row>
    <row r="1722" spans="1:1" x14ac:dyDescent="0.25">
      <c r="A1722" s="2" t="s">
        <v>5169</v>
      </c>
    </row>
    <row r="1723" spans="1:1" x14ac:dyDescent="0.25">
      <c r="A1723" s="2" t="s">
        <v>5172</v>
      </c>
    </row>
    <row r="1724" spans="1:1" x14ac:dyDescent="0.25">
      <c r="A1724" s="2" t="s">
        <v>5175</v>
      </c>
    </row>
    <row r="1725" spans="1:1" x14ac:dyDescent="0.25">
      <c r="A1725" s="2" t="s">
        <v>5178</v>
      </c>
    </row>
    <row r="1726" spans="1:1" x14ac:dyDescent="0.25">
      <c r="A1726" s="2" t="s">
        <v>5181</v>
      </c>
    </row>
    <row r="1727" spans="1:1" x14ac:dyDescent="0.25">
      <c r="A1727" s="2" t="s">
        <v>5184</v>
      </c>
    </row>
    <row r="1728" spans="1:1" x14ac:dyDescent="0.25">
      <c r="A1728" s="2" t="s">
        <v>5187</v>
      </c>
    </row>
    <row r="1729" spans="1:1" x14ac:dyDescent="0.25">
      <c r="A1729" s="2" t="s">
        <v>5190</v>
      </c>
    </row>
    <row r="1730" spans="1:1" x14ac:dyDescent="0.25">
      <c r="A1730" s="2" t="s">
        <v>5193</v>
      </c>
    </row>
    <row r="1731" spans="1:1" x14ac:dyDescent="0.25">
      <c r="A1731" s="2" t="s">
        <v>5196</v>
      </c>
    </row>
    <row r="1732" spans="1:1" x14ac:dyDescent="0.25">
      <c r="A1732" s="2" t="s">
        <v>5199</v>
      </c>
    </row>
    <row r="1733" spans="1:1" x14ac:dyDescent="0.25">
      <c r="A1733" s="2" t="s">
        <v>5202</v>
      </c>
    </row>
    <row r="1734" spans="1:1" x14ac:dyDescent="0.25">
      <c r="A1734" s="2" t="s">
        <v>5205</v>
      </c>
    </row>
    <row r="1735" spans="1:1" x14ac:dyDescent="0.25">
      <c r="A1735" s="2" t="s">
        <v>5208</v>
      </c>
    </row>
    <row r="1736" spans="1:1" x14ac:dyDescent="0.25">
      <c r="A1736" s="2" t="s">
        <v>5211</v>
      </c>
    </row>
    <row r="1737" spans="1:1" x14ac:dyDescent="0.25">
      <c r="A1737" s="2" t="s">
        <v>5214</v>
      </c>
    </row>
    <row r="1738" spans="1:1" x14ac:dyDescent="0.25">
      <c r="A1738" s="2" t="s">
        <v>5217</v>
      </c>
    </row>
    <row r="1739" spans="1:1" x14ac:dyDescent="0.25">
      <c r="A1739" s="2" t="s">
        <v>5220</v>
      </c>
    </row>
    <row r="1740" spans="1:1" x14ac:dyDescent="0.25">
      <c r="A1740" s="2" t="s">
        <v>5223</v>
      </c>
    </row>
    <row r="1741" spans="1:1" x14ac:dyDescent="0.25">
      <c r="A1741" s="2" t="s">
        <v>5226</v>
      </c>
    </row>
    <row r="1742" spans="1:1" x14ac:dyDescent="0.25">
      <c r="A1742" s="2" t="s">
        <v>5229</v>
      </c>
    </row>
    <row r="1743" spans="1:1" x14ac:dyDescent="0.25">
      <c r="A1743" s="2" t="s">
        <v>5232</v>
      </c>
    </row>
    <row r="1744" spans="1:1" x14ac:dyDescent="0.25">
      <c r="A1744" s="2" t="s">
        <v>5235</v>
      </c>
    </row>
    <row r="1745" spans="1:1" x14ac:dyDescent="0.25">
      <c r="A1745" s="2" t="s">
        <v>5238</v>
      </c>
    </row>
    <row r="1746" spans="1:1" x14ac:dyDescent="0.25">
      <c r="A1746" s="2" t="s">
        <v>5241</v>
      </c>
    </row>
    <row r="1747" spans="1:1" x14ac:dyDescent="0.25">
      <c r="A1747" s="2" t="s">
        <v>5244</v>
      </c>
    </row>
    <row r="1748" spans="1:1" x14ac:dyDescent="0.25">
      <c r="A1748" s="2" t="s">
        <v>5247</v>
      </c>
    </row>
    <row r="1749" spans="1:1" x14ac:dyDescent="0.25">
      <c r="A1749" s="2" t="s">
        <v>5250</v>
      </c>
    </row>
    <row r="1750" spans="1:1" x14ac:dyDescent="0.25">
      <c r="A1750" s="2" t="s">
        <v>5253</v>
      </c>
    </row>
    <row r="1751" spans="1:1" x14ac:dyDescent="0.25">
      <c r="A1751" s="2" t="s">
        <v>5256</v>
      </c>
    </row>
    <row r="1752" spans="1:1" x14ac:dyDescent="0.25">
      <c r="A1752" s="2" t="s">
        <v>5259</v>
      </c>
    </row>
    <row r="1753" spans="1:1" x14ac:dyDescent="0.25">
      <c r="A1753" s="2" t="s">
        <v>5262</v>
      </c>
    </row>
    <row r="1754" spans="1:1" x14ac:dyDescent="0.25">
      <c r="A1754" s="2" t="s">
        <v>5265</v>
      </c>
    </row>
    <row r="1755" spans="1:1" x14ac:dyDescent="0.25">
      <c r="A1755" s="2" t="s">
        <v>5268</v>
      </c>
    </row>
    <row r="1756" spans="1:1" x14ac:dyDescent="0.25">
      <c r="A1756" s="2" t="s">
        <v>5271</v>
      </c>
    </row>
    <row r="1757" spans="1:1" x14ac:dyDescent="0.25">
      <c r="A1757" s="2" t="s">
        <v>5274</v>
      </c>
    </row>
    <row r="1758" spans="1:1" x14ac:dyDescent="0.25">
      <c r="A1758" s="2" t="s">
        <v>5277</v>
      </c>
    </row>
    <row r="1759" spans="1:1" x14ac:dyDescent="0.25">
      <c r="A1759" s="2" t="s">
        <v>5280</v>
      </c>
    </row>
    <row r="1760" spans="1:1" x14ac:dyDescent="0.25">
      <c r="A1760" s="2" t="s">
        <v>5283</v>
      </c>
    </row>
    <row r="1761" spans="1:1" x14ac:dyDescent="0.25">
      <c r="A1761" s="2" t="s">
        <v>5286</v>
      </c>
    </row>
    <row r="1762" spans="1:1" x14ac:dyDescent="0.25">
      <c r="A1762" s="2" t="s">
        <v>5289</v>
      </c>
    </row>
    <row r="1763" spans="1:1" x14ac:dyDescent="0.25">
      <c r="A1763" s="2" t="s">
        <v>5292</v>
      </c>
    </row>
    <row r="1764" spans="1:1" x14ac:dyDescent="0.25">
      <c r="A1764" s="2" t="s">
        <v>5295</v>
      </c>
    </row>
    <row r="1765" spans="1:1" x14ac:dyDescent="0.25">
      <c r="A1765" s="2" t="s">
        <v>5298</v>
      </c>
    </row>
    <row r="1766" spans="1:1" x14ac:dyDescent="0.25">
      <c r="A1766" s="2" t="s">
        <v>5301</v>
      </c>
    </row>
    <row r="1767" spans="1:1" x14ac:dyDescent="0.25">
      <c r="A1767" s="2" t="s">
        <v>5304</v>
      </c>
    </row>
    <row r="1768" spans="1:1" x14ac:dyDescent="0.25">
      <c r="A1768" s="2" t="s">
        <v>5307</v>
      </c>
    </row>
    <row r="1769" spans="1:1" x14ac:dyDescent="0.25">
      <c r="A1769" s="2" t="s">
        <v>5310</v>
      </c>
    </row>
    <row r="1770" spans="1:1" x14ac:dyDescent="0.25">
      <c r="A1770" s="2" t="s">
        <v>5313</v>
      </c>
    </row>
    <row r="1771" spans="1:1" x14ac:dyDescent="0.25">
      <c r="A1771" s="2" t="s">
        <v>5316</v>
      </c>
    </row>
    <row r="1772" spans="1:1" x14ac:dyDescent="0.25">
      <c r="A1772" s="2" t="s">
        <v>5319</v>
      </c>
    </row>
    <row r="1773" spans="1:1" x14ac:dyDescent="0.25">
      <c r="A1773" s="2" t="s">
        <v>5322</v>
      </c>
    </row>
    <row r="1774" spans="1:1" x14ac:dyDescent="0.25">
      <c r="A1774" s="2" t="s">
        <v>5325</v>
      </c>
    </row>
    <row r="1775" spans="1:1" x14ac:dyDescent="0.25">
      <c r="A1775" s="2" t="s">
        <v>5328</v>
      </c>
    </row>
    <row r="1776" spans="1:1" x14ac:dyDescent="0.25">
      <c r="A1776" s="2" t="s">
        <v>5331</v>
      </c>
    </row>
    <row r="1777" spans="1:1" x14ac:dyDescent="0.25">
      <c r="A1777" s="2" t="s">
        <v>5334</v>
      </c>
    </row>
    <row r="1778" spans="1:1" x14ac:dyDescent="0.25">
      <c r="A1778" s="2" t="s">
        <v>5337</v>
      </c>
    </row>
    <row r="1779" spans="1:1" x14ac:dyDescent="0.25">
      <c r="A1779" s="2" t="s">
        <v>5340</v>
      </c>
    </row>
    <row r="1780" spans="1:1" x14ac:dyDescent="0.25">
      <c r="A1780" s="2" t="s">
        <v>5343</v>
      </c>
    </row>
    <row r="1781" spans="1:1" x14ac:dyDescent="0.25">
      <c r="A1781" s="2" t="s">
        <v>5346</v>
      </c>
    </row>
    <row r="1782" spans="1:1" x14ac:dyDescent="0.25">
      <c r="A1782" s="2" t="s">
        <v>5349</v>
      </c>
    </row>
    <row r="1783" spans="1:1" x14ac:dyDescent="0.25">
      <c r="A1783" s="2" t="s">
        <v>5352</v>
      </c>
    </row>
    <row r="1784" spans="1:1" x14ac:dyDescent="0.25">
      <c r="A1784" s="2" t="s">
        <v>5355</v>
      </c>
    </row>
    <row r="1785" spans="1:1" x14ac:dyDescent="0.25">
      <c r="A1785" s="2" t="s">
        <v>5358</v>
      </c>
    </row>
    <row r="1786" spans="1:1" x14ac:dyDescent="0.25">
      <c r="A1786" s="2" t="s">
        <v>5361</v>
      </c>
    </row>
    <row r="1787" spans="1:1" x14ac:dyDescent="0.25">
      <c r="A1787" s="2" t="s">
        <v>5364</v>
      </c>
    </row>
    <row r="1788" spans="1:1" x14ac:dyDescent="0.25">
      <c r="A1788" s="2" t="s">
        <v>5367</v>
      </c>
    </row>
    <row r="1789" spans="1:1" x14ac:dyDescent="0.25">
      <c r="A1789" s="2" t="s">
        <v>5370</v>
      </c>
    </row>
    <row r="1790" spans="1:1" x14ac:dyDescent="0.25">
      <c r="A1790" s="2" t="s">
        <v>5373</v>
      </c>
    </row>
    <row r="1791" spans="1:1" x14ac:dyDescent="0.25">
      <c r="A1791" s="2" t="s">
        <v>5376</v>
      </c>
    </row>
    <row r="1792" spans="1:1" x14ac:dyDescent="0.25">
      <c r="A1792" s="2" t="s">
        <v>5379</v>
      </c>
    </row>
    <row r="1793" spans="1:1" x14ac:dyDescent="0.25">
      <c r="A1793" s="2" t="s">
        <v>5382</v>
      </c>
    </row>
    <row r="1794" spans="1:1" x14ac:dyDescent="0.25">
      <c r="A1794" s="2" t="s">
        <v>5385</v>
      </c>
    </row>
    <row r="1795" spans="1:1" x14ac:dyDescent="0.25">
      <c r="A1795" s="2" t="s">
        <v>5388</v>
      </c>
    </row>
    <row r="1796" spans="1:1" x14ac:dyDescent="0.25">
      <c r="A1796" s="2" t="s">
        <v>5391</v>
      </c>
    </row>
    <row r="1797" spans="1:1" x14ac:dyDescent="0.25">
      <c r="A1797" s="2" t="s">
        <v>5394</v>
      </c>
    </row>
    <row r="1798" spans="1:1" x14ac:dyDescent="0.25">
      <c r="A1798" s="2" t="s">
        <v>5397</v>
      </c>
    </row>
    <row r="1799" spans="1:1" x14ac:dyDescent="0.25">
      <c r="A1799" s="2" t="s">
        <v>5400</v>
      </c>
    </row>
    <row r="1800" spans="1:1" x14ac:dyDescent="0.25">
      <c r="A1800" s="2" t="s">
        <v>5403</v>
      </c>
    </row>
    <row r="1801" spans="1:1" x14ac:dyDescent="0.25">
      <c r="A1801" s="2" t="s">
        <v>5406</v>
      </c>
    </row>
    <row r="1802" spans="1:1" x14ac:dyDescent="0.25">
      <c r="A1802" s="2" t="s">
        <v>5409</v>
      </c>
    </row>
    <row r="1803" spans="1:1" x14ac:dyDescent="0.25">
      <c r="A1803" s="2" t="s">
        <v>5412</v>
      </c>
    </row>
    <row r="1804" spans="1:1" x14ac:dyDescent="0.25">
      <c r="A1804" s="2" t="s">
        <v>5415</v>
      </c>
    </row>
    <row r="1805" spans="1:1" x14ac:dyDescent="0.25">
      <c r="A1805" s="2" t="s">
        <v>5418</v>
      </c>
    </row>
    <row r="1806" spans="1:1" x14ac:dyDescent="0.25">
      <c r="A1806" s="2" t="s">
        <v>5421</v>
      </c>
    </row>
    <row r="1807" spans="1:1" x14ac:dyDescent="0.25">
      <c r="A1807" s="2" t="s">
        <v>5424</v>
      </c>
    </row>
    <row r="1808" spans="1:1" x14ac:dyDescent="0.25">
      <c r="A1808" s="2" t="s">
        <v>5427</v>
      </c>
    </row>
    <row r="1809" spans="1:1" x14ac:dyDescent="0.25">
      <c r="A1809" s="2" t="s">
        <v>5430</v>
      </c>
    </row>
    <row r="1810" spans="1:1" x14ac:dyDescent="0.25">
      <c r="A1810" s="2" t="s">
        <v>5433</v>
      </c>
    </row>
    <row r="1811" spans="1:1" x14ac:dyDescent="0.25">
      <c r="A1811" s="2" t="s">
        <v>5436</v>
      </c>
    </row>
    <row r="1812" spans="1:1" x14ac:dyDescent="0.25">
      <c r="A1812" s="2" t="s">
        <v>5439</v>
      </c>
    </row>
    <row r="1813" spans="1:1" x14ac:dyDescent="0.25">
      <c r="A1813" s="2" t="s">
        <v>5442</v>
      </c>
    </row>
    <row r="1814" spans="1:1" x14ac:dyDescent="0.25">
      <c r="A1814" s="2" t="s">
        <v>5445</v>
      </c>
    </row>
    <row r="1815" spans="1:1" x14ac:dyDescent="0.25">
      <c r="A1815" s="2" t="s">
        <v>5448</v>
      </c>
    </row>
    <row r="1816" spans="1:1" x14ac:dyDescent="0.25">
      <c r="A1816" s="2" t="s">
        <v>5451</v>
      </c>
    </row>
    <row r="1817" spans="1:1" x14ac:dyDescent="0.25">
      <c r="A1817" s="2" t="s">
        <v>5454</v>
      </c>
    </row>
    <row r="1818" spans="1:1" x14ac:dyDescent="0.25">
      <c r="A1818" s="2" t="s">
        <v>5457</v>
      </c>
    </row>
    <row r="1819" spans="1:1" x14ac:dyDescent="0.25">
      <c r="A1819" s="2" t="s">
        <v>5460</v>
      </c>
    </row>
    <row r="1820" spans="1:1" x14ac:dyDescent="0.25">
      <c r="A1820" s="2" t="s">
        <v>5463</v>
      </c>
    </row>
    <row r="1821" spans="1:1" x14ac:dyDescent="0.25">
      <c r="A1821" s="2" t="s">
        <v>5466</v>
      </c>
    </row>
    <row r="1822" spans="1:1" x14ac:dyDescent="0.25">
      <c r="A1822" s="2" t="s">
        <v>5469</v>
      </c>
    </row>
    <row r="1823" spans="1:1" x14ac:dyDescent="0.25">
      <c r="A1823" s="2" t="s">
        <v>5472</v>
      </c>
    </row>
    <row r="1824" spans="1:1" x14ac:dyDescent="0.25">
      <c r="A1824" s="2" t="s">
        <v>5475</v>
      </c>
    </row>
    <row r="1825" spans="1:1" x14ac:dyDescent="0.25">
      <c r="A1825" s="2" t="s">
        <v>5478</v>
      </c>
    </row>
    <row r="1826" spans="1:1" x14ac:dyDescent="0.25">
      <c r="A1826" s="2" t="s">
        <v>5481</v>
      </c>
    </row>
    <row r="1827" spans="1:1" x14ac:dyDescent="0.25">
      <c r="A1827" s="2" t="s">
        <v>5484</v>
      </c>
    </row>
    <row r="1828" spans="1:1" x14ac:dyDescent="0.25">
      <c r="A1828" s="2" t="s">
        <v>5487</v>
      </c>
    </row>
    <row r="1829" spans="1:1" x14ac:dyDescent="0.25">
      <c r="A1829" s="2" t="s">
        <v>5490</v>
      </c>
    </row>
    <row r="1830" spans="1:1" x14ac:dyDescent="0.25">
      <c r="A1830" s="2" t="s">
        <v>5493</v>
      </c>
    </row>
    <row r="1831" spans="1:1" x14ac:dyDescent="0.25">
      <c r="A1831" s="2" t="s">
        <v>5496</v>
      </c>
    </row>
    <row r="1832" spans="1:1" x14ac:dyDescent="0.25">
      <c r="A1832" s="2" t="s">
        <v>5499</v>
      </c>
    </row>
    <row r="1833" spans="1:1" x14ac:dyDescent="0.25">
      <c r="A1833" s="2" t="s">
        <v>5502</v>
      </c>
    </row>
    <row r="1834" spans="1:1" x14ac:dyDescent="0.25">
      <c r="A1834" s="2" t="s">
        <v>5505</v>
      </c>
    </row>
    <row r="1835" spans="1:1" x14ac:dyDescent="0.25">
      <c r="A1835" s="2" t="s">
        <v>5508</v>
      </c>
    </row>
    <row r="1836" spans="1:1" x14ac:dyDescent="0.25">
      <c r="A1836" s="2" t="s">
        <v>5511</v>
      </c>
    </row>
    <row r="1837" spans="1:1" x14ac:dyDescent="0.25">
      <c r="A1837" s="2" t="s">
        <v>5514</v>
      </c>
    </row>
    <row r="1838" spans="1:1" x14ac:dyDescent="0.25">
      <c r="A1838" s="2" t="s">
        <v>5517</v>
      </c>
    </row>
    <row r="1839" spans="1:1" x14ac:dyDescent="0.25">
      <c r="A1839" s="2" t="s">
        <v>5520</v>
      </c>
    </row>
    <row r="1840" spans="1:1" x14ac:dyDescent="0.25">
      <c r="A1840" s="2" t="s">
        <v>5523</v>
      </c>
    </row>
    <row r="1841" spans="1:1" x14ac:dyDescent="0.25">
      <c r="A1841" s="2" t="s">
        <v>5526</v>
      </c>
    </row>
    <row r="1842" spans="1:1" x14ac:dyDescent="0.25">
      <c r="A1842" s="2" t="s">
        <v>5529</v>
      </c>
    </row>
    <row r="1843" spans="1:1" x14ac:dyDescent="0.25">
      <c r="A1843" s="2" t="s">
        <v>5532</v>
      </c>
    </row>
    <row r="1844" spans="1:1" x14ac:dyDescent="0.25">
      <c r="A1844" s="2" t="s">
        <v>5535</v>
      </c>
    </row>
    <row r="1845" spans="1:1" x14ac:dyDescent="0.25">
      <c r="A1845" s="2" t="s">
        <v>5538</v>
      </c>
    </row>
    <row r="1846" spans="1:1" x14ac:dyDescent="0.25">
      <c r="A1846" s="2" t="s">
        <v>5541</v>
      </c>
    </row>
    <row r="1847" spans="1:1" x14ac:dyDescent="0.25">
      <c r="A1847" s="2" t="s">
        <v>5544</v>
      </c>
    </row>
    <row r="1848" spans="1:1" x14ac:dyDescent="0.25">
      <c r="A1848" s="2" t="s">
        <v>5547</v>
      </c>
    </row>
    <row r="1849" spans="1:1" x14ac:dyDescent="0.25">
      <c r="A1849" s="2" t="s">
        <v>5550</v>
      </c>
    </row>
    <row r="1850" spans="1:1" x14ac:dyDescent="0.25">
      <c r="A1850" s="2" t="s">
        <v>5553</v>
      </c>
    </row>
    <row r="1851" spans="1:1" x14ac:dyDescent="0.25">
      <c r="A1851" s="2" t="s">
        <v>5556</v>
      </c>
    </row>
    <row r="1852" spans="1:1" x14ac:dyDescent="0.25">
      <c r="A1852" s="2" t="s">
        <v>5559</v>
      </c>
    </row>
    <row r="1853" spans="1:1" x14ac:dyDescent="0.25">
      <c r="A1853" s="2" t="s">
        <v>5562</v>
      </c>
    </row>
    <row r="1854" spans="1:1" x14ac:dyDescent="0.25">
      <c r="A1854" s="2" t="s">
        <v>5565</v>
      </c>
    </row>
    <row r="1855" spans="1:1" x14ac:dyDescent="0.25">
      <c r="A1855" s="2" t="s">
        <v>5568</v>
      </c>
    </row>
    <row r="1856" spans="1:1" x14ac:dyDescent="0.25">
      <c r="A1856" s="2" t="s">
        <v>5571</v>
      </c>
    </row>
    <row r="1857" spans="1:1" x14ac:dyDescent="0.25">
      <c r="A1857" s="2" t="s">
        <v>5574</v>
      </c>
    </row>
    <row r="1858" spans="1:1" x14ac:dyDescent="0.25">
      <c r="A1858" s="2" t="s">
        <v>5577</v>
      </c>
    </row>
    <row r="1859" spans="1:1" x14ac:dyDescent="0.25">
      <c r="A1859" s="2" t="s">
        <v>5580</v>
      </c>
    </row>
    <row r="1860" spans="1:1" x14ac:dyDescent="0.25">
      <c r="A1860" s="2" t="s">
        <v>5583</v>
      </c>
    </row>
    <row r="1861" spans="1:1" x14ac:dyDescent="0.25">
      <c r="A1861" s="2" t="s">
        <v>5586</v>
      </c>
    </row>
    <row r="1862" spans="1:1" x14ac:dyDescent="0.25">
      <c r="A1862" s="2" t="s">
        <v>5589</v>
      </c>
    </row>
    <row r="1863" spans="1:1" x14ac:dyDescent="0.25">
      <c r="A1863" s="2" t="s">
        <v>5592</v>
      </c>
    </row>
    <row r="1864" spans="1:1" x14ac:dyDescent="0.25">
      <c r="A1864" s="2" t="s">
        <v>5595</v>
      </c>
    </row>
    <row r="1865" spans="1:1" x14ac:dyDescent="0.25">
      <c r="A1865" s="2" t="s">
        <v>5598</v>
      </c>
    </row>
    <row r="1866" spans="1:1" x14ac:dyDescent="0.25">
      <c r="A1866" s="2" t="s">
        <v>5601</v>
      </c>
    </row>
    <row r="1867" spans="1:1" x14ac:dyDescent="0.25">
      <c r="A1867" s="2" t="s">
        <v>5604</v>
      </c>
    </row>
    <row r="1868" spans="1:1" x14ac:dyDescent="0.25">
      <c r="A1868" s="2" t="s">
        <v>5607</v>
      </c>
    </row>
    <row r="1869" spans="1:1" x14ac:dyDescent="0.25">
      <c r="A1869" s="2" t="s">
        <v>5610</v>
      </c>
    </row>
    <row r="1870" spans="1:1" x14ac:dyDescent="0.25">
      <c r="A1870" s="2" t="s">
        <v>5613</v>
      </c>
    </row>
    <row r="1871" spans="1:1" x14ac:dyDescent="0.25">
      <c r="A1871" s="2" t="s">
        <v>5616</v>
      </c>
    </row>
    <row r="1872" spans="1:1" x14ac:dyDescent="0.25">
      <c r="A1872" s="2" t="s">
        <v>5619</v>
      </c>
    </row>
    <row r="1873" spans="1:1" x14ac:dyDescent="0.25">
      <c r="A1873" s="2" t="s">
        <v>5622</v>
      </c>
    </row>
    <row r="1874" spans="1:1" x14ac:dyDescent="0.25">
      <c r="A1874" s="2" t="s">
        <v>5625</v>
      </c>
    </row>
    <row r="1875" spans="1:1" x14ac:dyDescent="0.25">
      <c r="A1875" s="2" t="s">
        <v>5628</v>
      </c>
    </row>
    <row r="1876" spans="1:1" x14ac:dyDescent="0.25">
      <c r="A1876" s="2" t="s">
        <v>5631</v>
      </c>
    </row>
    <row r="1877" spans="1:1" x14ac:dyDescent="0.25">
      <c r="A1877" s="2" t="s">
        <v>5634</v>
      </c>
    </row>
    <row r="1878" spans="1:1" x14ac:dyDescent="0.25">
      <c r="A1878" s="2" t="s">
        <v>5637</v>
      </c>
    </row>
    <row r="1879" spans="1:1" x14ac:dyDescent="0.25">
      <c r="A1879" s="2" t="s">
        <v>5640</v>
      </c>
    </row>
    <row r="1880" spans="1:1" x14ac:dyDescent="0.25">
      <c r="A1880" s="2" t="s">
        <v>5643</v>
      </c>
    </row>
    <row r="1881" spans="1:1" x14ac:dyDescent="0.25">
      <c r="A1881" s="2" t="s">
        <v>5646</v>
      </c>
    </row>
    <row r="1882" spans="1:1" x14ac:dyDescent="0.25">
      <c r="A1882" s="2" t="s">
        <v>5649</v>
      </c>
    </row>
    <row r="1883" spans="1:1" x14ac:dyDescent="0.25">
      <c r="A1883" s="2" t="s">
        <v>5652</v>
      </c>
    </row>
    <row r="1884" spans="1:1" x14ac:dyDescent="0.25">
      <c r="A1884" s="2" t="s">
        <v>5655</v>
      </c>
    </row>
    <row r="1885" spans="1:1" x14ac:dyDescent="0.25">
      <c r="A1885" s="2" t="s">
        <v>5658</v>
      </c>
    </row>
    <row r="1886" spans="1:1" x14ac:dyDescent="0.25">
      <c r="A1886" s="2" t="s">
        <v>5661</v>
      </c>
    </row>
    <row r="1887" spans="1:1" x14ac:dyDescent="0.25">
      <c r="A1887" s="2" t="s">
        <v>5664</v>
      </c>
    </row>
    <row r="1888" spans="1:1" x14ac:dyDescent="0.25">
      <c r="A1888" s="2" t="s">
        <v>5667</v>
      </c>
    </row>
    <row r="1889" spans="1:1" x14ac:dyDescent="0.25">
      <c r="A1889" s="2" t="s">
        <v>5670</v>
      </c>
    </row>
    <row r="1890" spans="1:1" x14ac:dyDescent="0.25">
      <c r="A1890" s="2" t="s">
        <v>5673</v>
      </c>
    </row>
    <row r="1891" spans="1:1" x14ac:dyDescent="0.25">
      <c r="A1891" s="2" t="s">
        <v>5676</v>
      </c>
    </row>
    <row r="1892" spans="1:1" x14ac:dyDescent="0.25">
      <c r="A1892" s="2" t="s">
        <v>5679</v>
      </c>
    </row>
    <row r="1893" spans="1:1" x14ac:dyDescent="0.25">
      <c r="A1893" s="2" t="s">
        <v>5682</v>
      </c>
    </row>
    <row r="1894" spans="1:1" x14ac:dyDescent="0.25">
      <c r="A1894" s="2" t="s">
        <v>5685</v>
      </c>
    </row>
    <row r="1895" spans="1:1" x14ac:dyDescent="0.25">
      <c r="A1895" s="2" t="s">
        <v>5688</v>
      </c>
    </row>
    <row r="1896" spans="1:1" x14ac:dyDescent="0.25">
      <c r="A1896" s="2" t="s">
        <v>5691</v>
      </c>
    </row>
    <row r="1897" spans="1:1" x14ac:dyDescent="0.25">
      <c r="A1897" s="2" t="s">
        <v>5694</v>
      </c>
    </row>
    <row r="1898" spans="1:1" x14ac:dyDescent="0.25">
      <c r="A1898" s="2" t="s">
        <v>5697</v>
      </c>
    </row>
    <row r="1899" spans="1:1" x14ac:dyDescent="0.25">
      <c r="A1899" s="2" t="s">
        <v>5700</v>
      </c>
    </row>
    <row r="1900" spans="1:1" x14ac:dyDescent="0.25">
      <c r="A1900" s="2" t="s">
        <v>5703</v>
      </c>
    </row>
    <row r="1901" spans="1:1" x14ac:dyDescent="0.25">
      <c r="A1901" s="2" t="s">
        <v>5706</v>
      </c>
    </row>
    <row r="1902" spans="1:1" x14ac:dyDescent="0.25">
      <c r="A1902" s="2" t="s">
        <v>5709</v>
      </c>
    </row>
    <row r="1903" spans="1:1" x14ac:dyDescent="0.25">
      <c r="A1903" s="2" t="s">
        <v>5712</v>
      </c>
    </row>
    <row r="1904" spans="1:1" x14ac:dyDescent="0.25">
      <c r="A1904" s="2" t="s">
        <v>5715</v>
      </c>
    </row>
    <row r="1905" spans="1:1" x14ac:dyDescent="0.25">
      <c r="A1905" s="2" t="s">
        <v>5718</v>
      </c>
    </row>
    <row r="1906" spans="1:1" x14ac:dyDescent="0.25">
      <c r="A1906" s="2" t="s">
        <v>5721</v>
      </c>
    </row>
    <row r="1907" spans="1:1" x14ac:dyDescent="0.25">
      <c r="A1907" s="2" t="s">
        <v>5724</v>
      </c>
    </row>
    <row r="1908" spans="1:1" x14ac:dyDescent="0.25">
      <c r="A1908" s="2" t="s">
        <v>5727</v>
      </c>
    </row>
    <row r="1909" spans="1:1" x14ac:dyDescent="0.25">
      <c r="A1909" s="2" t="s">
        <v>5730</v>
      </c>
    </row>
    <row r="1910" spans="1:1" x14ac:dyDescent="0.25">
      <c r="A1910" s="2" t="s">
        <v>5733</v>
      </c>
    </row>
    <row r="1911" spans="1:1" x14ac:dyDescent="0.25">
      <c r="A1911" s="2" t="s">
        <v>5736</v>
      </c>
    </row>
    <row r="1912" spans="1:1" x14ac:dyDescent="0.25">
      <c r="A1912" s="2" t="s">
        <v>5739</v>
      </c>
    </row>
    <row r="1913" spans="1:1" x14ac:dyDescent="0.25">
      <c r="A1913" s="2" t="s">
        <v>5742</v>
      </c>
    </row>
    <row r="1914" spans="1:1" x14ac:dyDescent="0.25">
      <c r="A1914" s="2" t="s">
        <v>5745</v>
      </c>
    </row>
    <row r="1915" spans="1:1" x14ac:dyDescent="0.25">
      <c r="A1915" s="2" t="s">
        <v>5748</v>
      </c>
    </row>
    <row r="1916" spans="1:1" x14ac:dyDescent="0.25">
      <c r="A1916" s="2" t="s">
        <v>5751</v>
      </c>
    </row>
    <row r="1917" spans="1:1" x14ac:dyDescent="0.25">
      <c r="A1917" s="2" t="s">
        <v>5754</v>
      </c>
    </row>
    <row r="1918" spans="1:1" x14ac:dyDescent="0.25">
      <c r="A1918" s="2" t="s">
        <v>5757</v>
      </c>
    </row>
    <row r="1919" spans="1:1" x14ac:dyDescent="0.25">
      <c r="A1919" s="2" t="s">
        <v>5760</v>
      </c>
    </row>
    <row r="1920" spans="1:1" x14ac:dyDescent="0.25">
      <c r="A1920" s="2" t="s">
        <v>5763</v>
      </c>
    </row>
    <row r="1921" spans="1:1" x14ac:dyDescent="0.25">
      <c r="A1921" s="2" t="s">
        <v>5766</v>
      </c>
    </row>
    <row r="1922" spans="1:1" x14ac:dyDescent="0.25">
      <c r="A1922" s="2" t="s">
        <v>5769</v>
      </c>
    </row>
    <row r="1923" spans="1:1" x14ac:dyDescent="0.25">
      <c r="A1923" s="2" t="s">
        <v>5772</v>
      </c>
    </row>
    <row r="1924" spans="1:1" x14ac:dyDescent="0.25">
      <c r="A1924" s="2" t="s">
        <v>5775</v>
      </c>
    </row>
    <row r="1925" spans="1:1" x14ac:dyDescent="0.25">
      <c r="A1925" s="2" t="s">
        <v>5778</v>
      </c>
    </row>
    <row r="1926" spans="1:1" x14ac:dyDescent="0.25">
      <c r="A1926" s="2" t="s">
        <v>5781</v>
      </c>
    </row>
    <row r="1927" spans="1:1" x14ac:dyDescent="0.25">
      <c r="A1927" s="2" t="s">
        <v>5784</v>
      </c>
    </row>
    <row r="1928" spans="1:1" x14ac:dyDescent="0.25">
      <c r="A1928" s="2" t="s">
        <v>5787</v>
      </c>
    </row>
    <row r="1929" spans="1:1" x14ac:dyDescent="0.25">
      <c r="A1929" s="2" t="s">
        <v>5790</v>
      </c>
    </row>
    <row r="1930" spans="1:1" x14ac:dyDescent="0.25">
      <c r="A1930" s="2" t="s">
        <v>5793</v>
      </c>
    </row>
    <row r="1931" spans="1:1" x14ac:dyDescent="0.25">
      <c r="A1931" s="2" t="s">
        <v>5796</v>
      </c>
    </row>
    <row r="1932" spans="1:1" x14ac:dyDescent="0.25">
      <c r="A1932" s="2" t="s">
        <v>5799</v>
      </c>
    </row>
    <row r="1933" spans="1:1" x14ac:dyDescent="0.25">
      <c r="A1933" s="2" t="s">
        <v>5802</v>
      </c>
    </row>
    <row r="1934" spans="1:1" x14ac:dyDescent="0.25">
      <c r="A1934" s="2" t="s">
        <v>5805</v>
      </c>
    </row>
    <row r="1935" spans="1:1" x14ac:dyDescent="0.25">
      <c r="A1935" s="2" t="s">
        <v>5808</v>
      </c>
    </row>
    <row r="1936" spans="1:1" x14ac:dyDescent="0.25">
      <c r="A1936" s="2" t="s">
        <v>5811</v>
      </c>
    </row>
    <row r="1937" spans="1:1" x14ac:dyDescent="0.25">
      <c r="A1937" s="2" t="s">
        <v>5814</v>
      </c>
    </row>
    <row r="1938" spans="1:1" x14ac:dyDescent="0.25">
      <c r="A1938" s="2" t="s">
        <v>5817</v>
      </c>
    </row>
    <row r="1939" spans="1:1" x14ac:dyDescent="0.25">
      <c r="A1939" s="2" t="s">
        <v>5820</v>
      </c>
    </row>
    <row r="1940" spans="1:1" x14ac:dyDescent="0.25">
      <c r="A1940" s="2" t="s">
        <v>5823</v>
      </c>
    </row>
    <row r="1941" spans="1:1" x14ac:dyDescent="0.25">
      <c r="A1941" s="2" t="s">
        <v>5826</v>
      </c>
    </row>
    <row r="1942" spans="1:1" x14ac:dyDescent="0.25">
      <c r="A1942" s="2" t="s">
        <v>5829</v>
      </c>
    </row>
    <row r="1943" spans="1:1" x14ac:dyDescent="0.25">
      <c r="A1943" s="2" t="s">
        <v>5832</v>
      </c>
    </row>
    <row r="1944" spans="1:1" x14ac:dyDescent="0.25">
      <c r="A1944" s="2" t="s">
        <v>5835</v>
      </c>
    </row>
    <row r="1945" spans="1:1" x14ac:dyDescent="0.25">
      <c r="A1945" s="2" t="s">
        <v>5838</v>
      </c>
    </row>
    <row r="1946" spans="1:1" x14ac:dyDescent="0.25">
      <c r="A1946" s="2" t="s">
        <v>5841</v>
      </c>
    </row>
    <row r="1947" spans="1:1" x14ac:dyDescent="0.25">
      <c r="A1947" s="2" t="s">
        <v>5844</v>
      </c>
    </row>
    <row r="1948" spans="1:1" x14ac:dyDescent="0.25">
      <c r="A1948" s="2" t="s">
        <v>5847</v>
      </c>
    </row>
    <row r="1949" spans="1:1" x14ac:dyDescent="0.25">
      <c r="A1949" s="2" t="s">
        <v>5850</v>
      </c>
    </row>
    <row r="1950" spans="1:1" x14ac:dyDescent="0.25">
      <c r="A1950" s="2" t="s">
        <v>5853</v>
      </c>
    </row>
    <row r="1951" spans="1:1" x14ac:dyDescent="0.25">
      <c r="A1951" s="2" t="s">
        <v>5856</v>
      </c>
    </row>
    <row r="1952" spans="1:1" x14ac:dyDescent="0.25">
      <c r="A1952" s="2" t="s">
        <v>5859</v>
      </c>
    </row>
    <row r="1953" spans="1:1" x14ac:dyDescent="0.25">
      <c r="A1953" s="2" t="s">
        <v>5862</v>
      </c>
    </row>
    <row r="1954" spans="1:1" x14ac:dyDescent="0.25">
      <c r="A1954" s="2" t="s">
        <v>5865</v>
      </c>
    </row>
    <row r="1955" spans="1:1" x14ac:dyDescent="0.25">
      <c r="A1955" s="2" t="s">
        <v>5868</v>
      </c>
    </row>
    <row r="1956" spans="1:1" x14ac:dyDescent="0.25">
      <c r="A1956" s="2" t="s">
        <v>5871</v>
      </c>
    </row>
    <row r="1957" spans="1:1" x14ac:dyDescent="0.25">
      <c r="A1957" s="2" t="s">
        <v>5874</v>
      </c>
    </row>
    <row r="1958" spans="1:1" x14ac:dyDescent="0.25">
      <c r="A1958" s="2" t="s">
        <v>5877</v>
      </c>
    </row>
    <row r="1959" spans="1:1" x14ac:dyDescent="0.25">
      <c r="A1959" s="2" t="s">
        <v>5880</v>
      </c>
    </row>
    <row r="1960" spans="1:1" x14ac:dyDescent="0.25">
      <c r="A1960" s="2" t="s">
        <v>5883</v>
      </c>
    </row>
    <row r="1961" spans="1:1" x14ac:dyDescent="0.25">
      <c r="A1961" s="2" t="s">
        <v>5886</v>
      </c>
    </row>
    <row r="1962" spans="1:1" x14ac:dyDescent="0.25">
      <c r="A1962" s="2" t="s">
        <v>5889</v>
      </c>
    </row>
    <row r="1963" spans="1:1" x14ac:dyDescent="0.25">
      <c r="A1963" s="2" t="s">
        <v>5892</v>
      </c>
    </row>
    <row r="1964" spans="1:1" x14ac:dyDescent="0.25">
      <c r="A1964" s="2" t="s">
        <v>5895</v>
      </c>
    </row>
    <row r="1965" spans="1:1" x14ac:dyDescent="0.25">
      <c r="A1965" s="2" t="s">
        <v>5898</v>
      </c>
    </row>
    <row r="1966" spans="1:1" x14ac:dyDescent="0.25">
      <c r="A1966" s="2" t="s">
        <v>5901</v>
      </c>
    </row>
    <row r="1967" spans="1:1" x14ac:dyDescent="0.25">
      <c r="A1967" s="2" t="s">
        <v>5904</v>
      </c>
    </row>
    <row r="1968" spans="1:1" x14ac:dyDescent="0.25">
      <c r="A1968" s="2" t="s">
        <v>5907</v>
      </c>
    </row>
    <row r="1969" spans="1:1" x14ac:dyDescent="0.25">
      <c r="A1969" s="2" t="s">
        <v>5910</v>
      </c>
    </row>
    <row r="1970" spans="1:1" x14ac:dyDescent="0.25">
      <c r="A1970" s="2" t="s">
        <v>5913</v>
      </c>
    </row>
    <row r="1971" spans="1:1" x14ac:dyDescent="0.25">
      <c r="A1971" s="2" t="s">
        <v>5916</v>
      </c>
    </row>
    <row r="1972" spans="1:1" x14ac:dyDescent="0.25">
      <c r="A1972" s="2" t="s">
        <v>5919</v>
      </c>
    </row>
    <row r="1973" spans="1:1" x14ac:dyDescent="0.25">
      <c r="A1973" s="2" t="s">
        <v>5922</v>
      </c>
    </row>
    <row r="1974" spans="1:1" x14ac:dyDescent="0.25">
      <c r="A1974" s="2" t="s">
        <v>5925</v>
      </c>
    </row>
    <row r="1975" spans="1:1" x14ac:dyDescent="0.25">
      <c r="A1975" s="2" t="s">
        <v>5928</v>
      </c>
    </row>
    <row r="1976" spans="1:1" x14ac:dyDescent="0.25">
      <c r="A1976" s="2" t="s">
        <v>5931</v>
      </c>
    </row>
    <row r="1977" spans="1:1" x14ac:dyDescent="0.25">
      <c r="A1977" s="2" t="s">
        <v>5934</v>
      </c>
    </row>
    <row r="1978" spans="1:1" x14ac:dyDescent="0.25">
      <c r="A1978" s="2" t="s">
        <v>5937</v>
      </c>
    </row>
    <row r="1979" spans="1:1" x14ac:dyDescent="0.25">
      <c r="A1979" s="2" t="s">
        <v>5940</v>
      </c>
    </row>
    <row r="1980" spans="1:1" x14ac:dyDescent="0.25">
      <c r="A1980" s="2" t="s">
        <v>5943</v>
      </c>
    </row>
    <row r="1981" spans="1:1" x14ac:dyDescent="0.25">
      <c r="A1981" s="2" t="s">
        <v>5946</v>
      </c>
    </row>
    <row r="1982" spans="1:1" x14ac:dyDescent="0.25">
      <c r="A1982" s="2" t="s">
        <v>5949</v>
      </c>
    </row>
    <row r="1983" spans="1:1" x14ac:dyDescent="0.25">
      <c r="A1983" s="2" t="s">
        <v>5952</v>
      </c>
    </row>
    <row r="1984" spans="1:1" x14ac:dyDescent="0.25">
      <c r="A1984" s="2" t="s">
        <v>5955</v>
      </c>
    </row>
    <row r="1985" spans="1:1" x14ac:dyDescent="0.25">
      <c r="A1985" s="2" t="s">
        <v>5958</v>
      </c>
    </row>
    <row r="1986" spans="1:1" x14ac:dyDescent="0.25">
      <c r="A1986" s="2" t="s">
        <v>5961</v>
      </c>
    </row>
    <row r="1987" spans="1:1" x14ac:dyDescent="0.25">
      <c r="A1987" s="2" t="s">
        <v>5964</v>
      </c>
    </row>
    <row r="1988" spans="1:1" x14ac:dyDescent="0.25">
      <c r="A1988" s="2" t="s">
        <v>5967</v>
      </c>
    </row>
    <row r="1989" spans="1:1" x14ac:dyDescent="0.25">
      <c r="A1989" s="2" t="s">
        <v>5970</v>
      </c>
    </row>
    <row r="1990" spans="1:1" x14ac:dyDescent="0.25">
      <c r="A1990" s="2" t="s">
        <v>5973</v>
      </c>
    </row>
    <row r="1991" spans="1:1" x14ac:dyDescent="0.25">
      <c r="A1991" s="2" t="s">
        <v>5976</v>
      </c>
    </row>
    <row r="1992" spans="1:1" x14ac:dyDescent="0.25">
      <c r="A1992" s="2" t="s">
        <v>5979</v>
      </c>
    </row>
    <row r="1993" spans="1:1" x14ac:dyDescent="0.25">
      <c r="A1993" s="2" t="s">
        <v>5982</v>
      </c>
    </row>
    <row r="1994" spans="1:1" x14ac:dyDescent="0.25">
      <c r="A1994" s="2" t="s">
        <v>5985</v>
      </c>
    </row>
    <row r="1995" spans="1:1" x14ac:dyDescent="0.25">
      <c r="A1995" s="2" t="s">
        <v>5988</v>
      </c>
    </row>
    <row r="1996" spans="1:1" x14ac:dyDescent="0.25">
      <c r="A1996" s="2" t="s">
        <v>5991</v>
      </c>
    </row>
    <row r="1997" spans="1:1" x14ac:dyDescent="0.25">
      <c r="A1997" s="2" t="s">
        <v>5994</v>
      </c>
    </row>
    <row r="1998" spans="1:1" x14ac:dyDescent="0.25">
      <c r="A1998" s="2" t="s">
        <v>5997</v>
      </c>
    </row>
    <row r="1999" spans="1:1" x14ac:dyDescent="0.25">
      <c r="A1999" s="2" t="s">
        <v>6000</v>
      </c>
    </row>
    <row r="2000" spans="1:1" x14ac:dyDescent="0.25">
      <c r="A2000" s="2" t="s">
        <v>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2000 verbs</vt:lpstr>
      <vt:lpstr>German</vt:lpstr>
      <vt:lpstr>mass 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Shovan Mazumder</cp:lastModifiedBy>
  <dcterms:modified xsi:type="dcterms:W3CDTF">2025-11-12T10:00:36Z</dcterms:modified>
</cp:coreProperties>
</file>